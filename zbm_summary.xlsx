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ARUX1\email\"/>
    </mc:Choice>
  </mc:AlternateContent>
  <xr:revisionPtr revIDLastSave="0" documentId="13_ncr:1_{B723A0C9-B761-489D-BB27-C1FB5B728B15}" xr6:coauthVersionLast="47" xr6:coauthVersionMax="47" xr10:uidLastSave="{00000000-0000-0000-0000-000000000000}"/>
  <bookViews>
    <workbookView xWindow="-110" yWindow="-110" windowWidth="19420" windowHeight="10300" activeTab="1" xr2:uid="{0E96A2CA-FF2B-4A2D-B270-07BA2EE2A305}"/>
  </bookViews>
  <sheets>
    <sheet name="Division" sheetId="4" r:id="rId1"/>
    <sheet name="ZBM" sheetId="1" r:id="rId2"/>
    <sheet name="AB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4" l="1"/>
  <c r="R8" i="4"/>
  <c r="Q8" i="4"/>
  <c r="P8" i="4"/>
  <c r="O8" i="4"/>
  <c r="N8" i="4"/>
  <c r="M8" i="4"/>
  <c r="L8" i="4"/>
  <c r="K8" i="4"/>
  <c r="J8" i="4"/>
  <c r="H8" i="4"/>
  <c r="G8" i="4"/>
  <c r="F8" i="4"/>
  <c r="E8" i="4"/>
  <c r="I4" i="4"/>
  <c r="I8" i="4" s="1"/>
  <c r="S8" i="3"/>
  <c r="R8" i="3"/>
  <c r="Q8" i="3"/>
  <c r="P8" i="3"/>
  <c r="O8" i="3"/>
  <c r="N8" i="3"/>
  <c r="M8" i="3"/>
  <c r="L8" i="3"/>
  <c r="K8" i="3"/>
  <c r="J8" i="3"/>
  <c r="H8" i="3"/>
  <c r="G8" i="3"/>
  <c r="F8" i="3"/>
  <c r="E8" i="3"/>
  <c r="I4" i="3"/>
  <c r="I8" i="3" s="1"/>
  <c r="S9" i="1"/>
  <c r="R9" i="1"/>
  <c r="Q9" i="1"/>
  <c r="P9" i="1"/>
  <c r="O9" i="1"/>
  <c r="N9" i="1"/>
  <c r="M9" i="1"/>
  <c r="L9" i="1"/>
  <c r="K9" i="1"/>
  <c r="J9" i="1"/>
  <c r="H9" i="1"/>
  <c r="G9" i="1"/>
  <c r="F9" i="1"/>
  <c r="E9" i="1"/>
  <c r="I5" i="1"/>
  <c r="I9" i="1" s="1"/>
</calcChain>
</file>

<file path=xl/sharedStrings.xml><?xml version="1.0" encoding="utf-8"?>
<sst xmlns="http://schemas.openxmlformats.org/spreadsheetml/2006/main" count="113" uniqueCount="60">
  <si>
    <t>Munish Kalra</t>
  </si>
  <si>
    <t>Ankit Kumar Tiwari</t>
  </si>
  <si>
    <t>Tumma Kumar Prakash</t>
  </si>
  <si>
    <t>ATAUR RAHAMAN</t>
  </si>
  <si>
    <t>HO</t>
  </si>
  <si>
    <t>HUB</t>
  </si>
  <si>
    <t>Total</t>
  </si>
  <si>
    <t>IA0001 - Ahmedabad</t>
  </si>
  <si>
    <t>IA0002 - Mumbai</t>
  </si>
  <si>
    <t>IA0003 - Pune</t>
  </si>
  <si>
    <t>IA0004 - Nagpur</t>
  </si>
  <si>
    <t>Delivery Status</t>
  </si>
  <si>
    <t>RTO Reasons</t>
  </si>
  <si>
    <t>Request Cancelled / Out of Stock (A)</t>
  </si>
  <si>
    <t>Action pending / In Process At HO (B)</t>
  </si>
  <si>
    <t># Requests Raised
(A+B+C)</t>
  </si>
  <si>
    <t>Pending for Invoicing (D)</t>
  </si>
  <si>
    <t>Pending for Dispatch (E)</t>
  </si>
  <si>
    <t>Sent to HUB ('C)
(D+E+F)</t>
  </si>
  <si>
    <t>Delivered (G)</t>
  </si>
  <si>
    <t>Dispatched &amp; In Transit (H)</t>
  </si>
  <si>
    <t>RTO (I)</t>
  </si>
  <si>
    <t># Requests Dispatched (F)
(G+H+I)</t>
  </si>
  <si>
    <t>Incomplete Address</t>
  </si>
  <si>
    <t>Doctor Non Contactable</t>
  </si>
  <si>
    <t>Doctor Refused to Accept</t>
  </si>
  <si>
    <t>Hold Delivery</t>
  </si>
  <si>
    <t>ABM Name</t>
  </si>
  <si>
    <t>Area Name</t>
  </si>
  <si>
    <t>HQ</t>
  </si>
  <si>
    <t>TBM Name</t>
  </si>
  <si>
    <t>IT0001 - Ahmedabad</t>
  </si>
  <si>
    <t>IT0002 - Mumbai</t>
  </si>
  <si>
    <t>IT0003 - Pune</t>
  </si>
  <si>
    <t>IT0004 - Nagpur</t>
  </si>
  <si>
    <t>Zone Name</t>
  </si>
  <si>
    <t>ZBM Name</t>
  </si>
  <si>
    <t>ZN0001 - Ahmedabad</t>
  </si>
  <si>
    <t>ZN0002 - Mumbai</t>
  </si>
  <si>
    <t>ZN0003 - Pune</t>
  </si>
  <si>
    <t>ZN0004 - Nagpur</t>
  </si>
  <si>
    <t># Unique HCPs</t>
  </si>
  <si>
    <t># Unique TBMs</t>
  </si>
  <si>
    <t>YTD</t>
  </si>
  <si>
    <t>Doctor: Customer Code</t>
  </si>
  <si>
    <t>Assigned Request Ids</t>
  </si>
  <si>
    <t>Input Sample Request: Created By</t>
  </si>
  <si>
    <t xml:space="preserve">Request Status - Out of Stock </t>
  </si>
  <si>
    <t>Action pending / In Process, Dispatch &amp; in Transit, Dispatch Pending</t>
  </si>
  <si>
    <t>ABM Terr Code</t>
  </si>
  <si>
    <t>unique count of (Doctor: Customer Code)</t>
  </si>
  <si>
    <t>unique count of (Assigned Request Ids)</t>
  </si>
  <si>
    <t>unique count of (Request Status)-Request Raised</t>
  </si>
  <si>
    <t>unique count of (Request Status)-Out Of  Stock + On hold+nor permited</t>
  </si>
  <si>
    <t>unique count of (Request Status)-Delivered, Return, Action pending / In Process, Dispatched &amp; In Transit, Dispatch Pending</t>
  </si>
  <si>
    <t>unique count of (Request Status)-Action Pending / in Process</t>
  </si>
  <si>
    <t>unique count of (Request Status)-Dispatch Pending</t>
  </si>
  <si>
    <t>unique count of (Request Status)-Dispatched &amp; In Transit</t>
  </si>
  <si>
    <t>unique count of (Request Status)-Delivered</t>
  </si>
  <si>
    <t>unique count of (Request Status)-RTO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</si>
</sst>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Aptos Narrow"/>
      <family val="2"/>
    </font>
    <font>
      <b/>
      <sz val="10"/>
      <color rgb="FFFFFFFF"/>
      <name val="Calibri"/>
      <family val="2"/>
    </font>
    <font>
      <b/>
      <sz val="10"/>
      <color rgb="FF000000"/>
      <name val="Times New Roman"/>
      <family val="1"/>
    </font>
    <font>
      <b/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rgb="FF56585B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Fill="1"/>
    <xf numFmtId="0" fontId="3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0" borderId="0" xfId="0" applyFont="1"/>
    <xf numFmtId="0" fontId="6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0" xfId="0" applyFont="1"/>
    <xf numFmtId="0" fontId="11" fillId="0" borderId="0" xfId="0" applyFont="1" applyFill="1"/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4" borderId="8" xfId="0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wrapText="1"/>
    </xf>
    <xf numFmtId="0" fontId="13" fillId="9" borderId="1" xfId="0" applyFont="1" applyFill="1" applyBorder="1" applyAlignment="1">
      <alignment wrapText="1"/>
    </xf>
    <xf numFmtId="0" fontId="10" fillId="6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0C12-457D-4B77-BE71-2AFD5C035BB8}">
  <dimension ref="B1:T8"/>
  <sheetViews>
    <sheetView zoomScale="99" zoomScaleNormal="99" workbookViewId="0">
      <selection activeCell="C4" sqref="C4"/>
    </sheetView>
  </sheetViews>
  <sheetFormatPr defaultRowHeight="14.5" x14ac:dyDescent="0.35"/>
  <cols>
    <col min="1" max="1" width="2.81640625" customWidth="1"/>
    <col min="2" max="2" width="17.54296875" bestFit="1" customWidth="1"/>
    <col min="3" max="3" width="18.6328125" bestFit="1" customWidth="1"/>
    <col min="6" max="13" width="11.1796875" customWidth="1"/>
    <col min="14" max="14" width="11.1796875" style="2" customWidth="1"/>
    <col min="15" max="19" width="11.1796875" customWidth="1"/>
  </cols>
  <sheetData>
    <row r="1" spans="2:20" ht="15" thickBot="1" x14ac:dyDescent="0.4">
      <c r="B1" t="s">
        <v>43</v>
      </c>
      <c r="N1"/>
    </row>
    <row r="2" spans="2:20" ht="15" customHeight="1" x14ac:dyDescent="0.35">
      <c r="B2" s="47" t="s">
        <v>35</v>
      </c>
      <c r="C2" s="49" t="s">
        <v>36</v>
      </c>
      <c r="D2" s="49" t="s">
        <v>42</v>
      </c>
      <c r="E2" s="51" t="s">
        <v>41</v>
      </c>
      <c r="F2" s="53" t="s">
        <v>15</v>
      </c>
      <c r="G2" s="55" t="s">
        <v>4</v>
      </c>
      <c r="H2" s="56"/>
      <c r="I2" s="57"/>
      <c r="J2" s="38" t="s">
        <v>5</v>
      </c>
      <c r="K2" s="39"/>
      <c r="L2" s="40"/>
      <c r="M2" s="41" t="s">
        <v>11</v>
      </c>
      <c r="N2" s="42"/>
      <c r="O2" s="43"/>
      <c r="P2" s="44" t="s">
        <v>12</v>
      </c>
      <c r="Q2" s="45"/>
      <c r="R2" s="45"/>
      <c r="S2" s="46"/>
      <c r="T2" s="1"/>
    </row>
    <row r="3" spans="2:20" ht="52" x14ac:dyDescent="0.35">
      <c r="B3" s="48"/>
      <c r="C3" s="50"/>
      <c r="D3" s="50"/>
      <c r="E3" s="52"/>
      <c r="F3" s="54"/>
      <c r="G3" s="24" t="s">
        <v>13</v>
      </c>
      <c r="H3" s="6" t="s">
        <v>14</v>
      </c>
      <c r="I3" s="25" t="s">
        <v>18</v>
      </c>
      <c r="J3" s="30" t="s">
        <v>16</v>
      </c>
      <c r="K3" s="7" t="s">
        <v>17</v>
      </c>
      <c r="L3" s="31" t="s">
        <v>22</v>
      </c>
      <c r="M3" s="32" t="s">
        <v>19</v>
      </c>
      <c r="N3" s="8" t="s">
        <v>20</v>
      </c>
      <c r="O3" s="33" t="s">
        <v>21</v>
      </c>
      <c r="P3" s="34" t="s">
        <v>23</v>
      </c>
      <c r="Q3" s="9" t="s">
        <v>24</v>
      </c>
      <c r="R3" s="9" t="s">
        <v>25</v>
      </c>
      <c r="S3" s="35" t="s">
        <v>26</v>
      </c>
    </row>
    <row r="4" spans="2:20" x14ac:dyDescent="0.35">
      <c r="B4" s="17" t="s">
        <v>37</v>
      </c>
      <c r="C4" s="3" t="s">
        <v>0</v>
      </c>
      <c r="D4" s="3"/>
      <c r="E4" s="18">
        <v>12</v>
      </c>
      <c r="F4" s="22">
        <v>13</v>
      </c>
      <c r="G4" s="26">
        <v>0</v>
      </c>
      <c r="H4" s="4">
        <v>1</v>
      </c>
      <c r="I4" s="27">
        <f>F4-G4-H4</f>
        <v>12</v>
      </c>
      <c r="J4" s="26">
        <v>2</v>
      </c>
      <c r="K4" s="4">
        <v>1</v>
      </c>
      <c r="L4" s="18">
        <v>10</v>
      </c>
      <c r="M4" s="26">
        <v>9</v>
      </c>
      <c r="N4" s="4">
        <v>1</v>
      </c>
      <c r="O4" s="18">
        <v>0</v>
      </c>
      <c r="P4" s="26">
        <v>0</v>
      </c>
      <c r="Q4" s="4">
        <v>0</v>
      </c>
      <c r="R4" s="4">
        <v>0</v>
      </c>
      <c r="S4" s="18">
        <v>0</v>
      </c>
    </row>
    <row r="5" spans="2:20" x14ac:dyDescent="0.35">
      <c r="B5" s="17" t="s">
        <v>38</v>
      </c>
      <c r="C5" s="3" t="s">
        <v>1</v>
      </c>
      <c r="D5" s="3"/>
      <c r="E5" s="18">
        <v>13</v>
      </c>
      <c r="F5" s="22">
        <v>15</v>
      </c>
      <c r="G5" s="26"/>
      <c r="H5" s="4">
        <v>2</v>
      </c>
      <c r="I5" s="27"/>
      <c r="J5" s="26">
        <v>0</v>
      </c>
      <c r="K5" s="4"/>
      <c r="L5" s="18">
        <v>13</v>
      </c>
      <c r="M5" s="26">
        <v>11</v>
      </c>
      <c r="N5" s="4">
        <v>1</v>
      </c>
      <c r="O5" s="18">
        <v>1</v>
      </c>
      <c r="P5" s="26">
        <v>0</v>
      </c>
      <c r="Q5" s="4">
        <v>1</v>
      </c>
      <c r="R5" s="4">
        <v>0</v>
      </c>
      <c r="S5" s="18">
        <v>0</v>
      </c>
    </row>
    <row r="6" spans="2:20" x14ac:dyDescent="0.35">
      <c r="B6" s="17" t="s">
        <v>39</v>
      </c>
      <c r="C6" s="3" t="s">
        <v>2</v>
      </c>
      <c r="D6" s="3"/>
      <c r="E6" s="18">
        <v>76</v>
      </c>
      <c r="F6" s="22">
        <v>80</v>
      </c>
      <c r="G6" s="26"/>
      <c r="H6" s="4">
        <v>3</v>
      </c>
      <c r="I6" s="27"/>
      <c r="J6" s="26">
        <v>0</v>
      </c>
      <c r="K6" s="4"/>
      <c r="L6" s="18">
        <v>77</v>
      </c>
      <c r="M6" s="26">
        <v>77</v>
      </c>
      <c r="N6" s="4">
        <v>0</v>
      </c>
      <c r="O6" s="18">
        <v>0</v>
      </c>
      <c r="P6" s="26">
        <v>0</v>
      </c>
      <c r="Q6" s="4">
        <v>0</v>
      </c>
      <c r="R6" s="4">
        <v>0</v>
      </c>
      <c r="S6" s="18">
        <v>0</v>
      </c>
    </row>
    <row r="7" spans="2:20" x14ac:dyDescent="0.35">
      <c r="B7" s="17" t="s">
        <v>40</v>
      </c>
      <c r="C7" s="3" t="s">
        <v>3</v>
      </c>
      <c r="D7" s="3"/>
      <c r="E7" s="18">
        <v>12</v>
      </c>
      <c r="F7" s="22">
        <v>25</v>
      </c>
      <c r="G7" s="26"/>
      <c r="H7" s="4">
        <v>4</v>
      </c>
      <c r="I7" s="27"/>
      <c r="J7" s="26">
        <v>0</v>
      </c>
      <c r="K7" s="4"/>
      <c r="L7" s="18">
        <v>21</v>
      </c>
      <c r="M7" s="26">
        <v>13</v>
      </c>
      <c r="N7" s="4">
        <v>0</v>
      </c>
      <c r="O7" s="18">
        <v>8</v>
      </c>
      <c r="P7" s="26">
        <v>6</v>
      </c>
      <c r="Q7" s="4">
        <v>0</v>
      </c>
      <c r="R7" s="4">
        <v>2</v>
      </c>
      <c r="S7" s="18">
        <v>0</v>
      </c>
    </row>
    <row r="8" spans="2:20" s="1" customFormat="1" ht="15" thickBot="1" x14ac:dyDescent="0.4">
      <c r="B8" s="19"/>
      <c r="C8" s="20" t="s">
        <v>6</v>
      </c>
      <c r="D8" s="20"/>
      <c r="E8" s="21">
        <f>SUM(E4:E7)</f>
        <v>113</v>
      </c>
      <c r="F8" s="23">
        <f t="shared" ref="F8:S8" si="0">SUM(F4:F7)</f>
        <v>133</v>
      </c>
      <c r="G8" s="28">
        <f t="shared" si="0"/>
        <v>0</v>
      </c>
      <c r="H8" s="29">
        <f t="shared" si="0"/>
        <v>10</v>
      </c>
      <c r="I8" s="21">
        <f t="shared" si="0"/>
        <v>12</v>
      </c>
      <c r="J8" s="28">
        <f t="shared" si="0"/>
        <v>2</v>
      </c>
      <c r="K8" s="29">
        <f t="shared" si="0"/>
        <v>1</v>
      </c>
      <c r="L8" s="21">
        <f t="shared" si="0"/>
        <v>121</v>
      </c>
      <c r="M8" s="28">
        <f t="shared" si="0"/>
        <v>110</v>
      </c>
      <c r="N8" s="29">
        <f t="shared" si="0"/>
        <v>2</v>
      </c>
      <c r="O8" s="21">
        <f t="shared" si="0"/>
        <v>9</v>
      </c>
      <c r="P8" s="28">
        <f t="shared" si="0"/>
        <v>6</v>
      </c>
      <c r="Q8" s="29">
        <f t="shared" si="0"/>
        <v>1</v>
      </c>
      <c r="R8" s="29">
        <f t="shared" si="0"/>
        <v>2</v>
      </c>
      <c r="S8" s="21">
        <f t="shared" si="0"/>
        <v>0</v>
      </c>
    </row>
  </sheetData>
  <mergeCells count="9">
    <mergeCell ref="J2:L2"/>
    <mergeCell ref="M2:O2"/>
    <mergeCell ref="P2:S2"/>
    <mergeCell ref="B2:B3"/>
    <mergeCell ref="C2:C3"/>
    <mergeCell ref="D2:D3"/>
    <mergeCell ref="E2:E3"/>
    <mergeCell ref="F2:F3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1CB7-14A2-4E13-A57E-9A753E37F862}">
  <dimension ref="B1:S9"/>
  <sheetViews>
    <sheetView tabSelected="1" topLeftCell="B1" zoomScale="115" zoomScaleNormal="115" workbookViewId="0">
      <selection activeCell="B1" sqref="B1"/>
    </sheetView>
  </sheetViews>
  <sheetFormatPr defaultRowHeight="13" x14ac:dyDescent="0.3"/>
  <cols>
    <col min="1" max="1" width="2.81640625" style="10" customWidth="1"/>
    <col min="2" max="2" width="17" style="10" bestFit="1" customWidth="1"/>
    <col min="3" max="3" width="18.6328125" style="10" bestFit="1" customWidth="1"/>
    <col min="4" max="4" width="8.7265625" style="10"/>
    <col min="5" max="5" width="12.1796875" style="10" bestFit="1" customWidth="1"/>
    <col min="6" max="6" width="13.90625" style="10" customWidth="1"/>
    <col min="7" max="7" width="15.36328125" style="10" customWidth="1"/>
    <col min="8" max="13" width="13.90625" style="10" customWidth="1"/>
    <col min="14" max="14" width="13.90625" style="14" customWidth="1"/>
    <col min="15" max="19" width="13.90625" style="10" customWidth="1"/>
    <col min="20" max="16384" width="8.7265625" style="10"/>
  </cols>
  <sheetData>
    <row r="1" spans="2:19" ht="186" x14ac:dyDescent="0.35">
      <c r="B1" s="36" t="s">
        <v>49</v>
      </c>
      <c r="C1" s="36" t="s">
        <v>27</v>
      </c>
      <c r="D1" s="36" t="s">
        <v>44</v>
      </c>
      <c r="E1" s="36" t="s">
        <v>50</v>
      </c>
      <c r="F1" s="36" t="s">
        <v>51</v>
      </c>
      <c r="G1" s="36" t="s">
        <v>53</v>
      </c>
      <c r="H1" s="36" t="s">
        <v>52</v>
      </c>
      <c r="I1" s="36" t="s">
        <v>54</v>
      </c>
      <c r="J1" s="36" t="s">
        <v>55</v>
      </c>
      <c r="K1" s="36" t="s">
        <v>56</v>
      </c>
      <c r="L1" s="36" t="s">
        <v>56</v>
      </c>
      <c r="M1" s="36" t="s">
        <v>58</v>
      </c>
      <c r="N1" s="36" t="s">
        <v>57</v>
      </c>
      <c r="O1" s="36" t="s">
        <v>59</v>
      </c>
    </row>
    <row r="2" spans="2:19" ht="46.5" x14ac:dyDescent="0.35">
      <c r="C2" s="36" t="s">
        <v>46</v>
      </c>
      <c r="E2" s="36" t="s">
        <v>44</v>
      </c>
      <c r="F2" s="37" t="s">
        <v>45</v>
      </c>
      <c r="G2" s="64" t="s">
        <v>47</v>
      </c>
      <c r="H2" s="10" t="s">
        <v>48</v>
      </c>
      <c r="N2" s="10"/>
    </row>
    <row r="3" spans="2:19" ht="15" customHeight="1" x14ac:dyDescent="0.3">
      <c r="B3" s="59" t="s">
        <v>28</v>
      </c>
      <c r="C3" s="59" t="s">
        <v>27</v>
      </c>
      <c r="D3" s="59" t="s">
        <v>42</v>
      </c>
      <c r="E3" s="59" t="s">
        <v>41</v>
      </c>
      <c r="F3" s="58" t="s">
        <v>15</v>
      </c>
      <c r="G3" s="60" t="s">
        <v>4</v>
      </c>
      <c r="H3" s="60"/>
      <c r="I3" s="60"/>
      <c r="J3" s="61" t="s">
        <v>5</v>
      </c>
      <c r="K3" s="61"/>
      <c r="L3" s="61"/>
      <c r="M3" s="62" t="s">
        <v>11</v>
      </c>
      <c r="N3" s="62"/>
      <c r="O3" s="62"/>
      <c r="P3" s="63" t="s">
        <v>12</v>
      </c>
      <c r="Q3" s="63"/>
      <c r="R3" s="63"/>
      <c r="S3" s="63"/>
    </row>
    <row r="4" spans="2:19" ht="39" x14ac:dyDescent="0.3">
      <c r="B4" s="59"/>
      <c r="C4" s="59"/>
      <c r="D4" s="59"/>
      <c r="E4" s="59"/>
      <c r="F4" s="58"/>
      <c r="G4" s="6" t="s">
        <v>13</v>
      </c>
      <c r="H4" s="6" t="s">
        <v>14</v>
      </c>
      <c r="I4" s="6" t="s">
        <v>18</v>
      </c>
      <c r="J4" s="7" t="s">
        <v>16</v>
      </c>
      <c r="K4" s="7" t="s">
        <v>17</v>
      </c>
      <c r="L4" s="7" t="s">
        <v>22</v>
      </c>
      <c r="M4" s="8" t="s">
        <v>19</v>
      </c>
      <c r="N4" s="8" t="s">
        <v>20</v>
      </c>
      <c r="O4" s="8" t="s">
        <v>21</v>
      </c>
      <c r="P4" s="11" t="s">
        <v>23</v>
      </c>
      <c r="Q4" s="11" t="s">
        <v>24</v>
      </c>
      <c r="R4" s="11" t="s">
        <v>25</v>
      </c>
      <c r="S4" s="11" t="s">
        <v>26</v>
      </c>
    </row>
    <row r="5" spans="2:19" x14ac:dyDescent="0.3">
      <c r="B5" s="3" t="s">
        <v>7</v>
      </c>
      <c r="C5" s="3" t="s">
        <v>0</v>
      </c>
      <c r="D5" s="3"/>
      <c r="E5" s="12">
        <v>12</v>
      </c>
      <c r="F5" s="12">
        <v>13</v>
      </c>
      <c r="G5" s="12">
        <v>0</v>
      </c>
      <c r="H5" s="12">
        <v>1</v>
      </c>
      <c r="I5" s="15">
        <f>F5-G5-H5</f>
        <v>12</v>
      </c>
      <c r="J5" s="12">
        <v>2</v>
      </c>
      <c r="K5" s="12">
        <v>1</v>
      </c>
      <c r="L5" s="12">
        <v>10</v>
      </c>
      <c r="M5" s="12">
        <v>9</v>
      </c>
      <c r="N5" s="12">
        <v>1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</row>
    <row r="6" spans="2:19" x14ac:dyDescent="0.3">
      <c r="B6" s="3" t="s">
        <v>8</v>
      </c>
      <c r="C6" s="3" t="s">
        <v>1</v>
      </c>
      <c r="D6" s="3"/>
      <c r="E6" s="12">
        <v>13</v>
      </c>
      <c r="F6" s="12">
        <v>15</v>
      </c>
      <c r="G6" s="12"/>
      <c r="H6" s="12">
        <v>2</v>
      </c>
      <c r="I6" s="15"/>
      <c r="J6" s="12">
        <v>0</v>
      </c>
      <c r="K6" s="12"/>
      <c r="L6" s="12">
        <v>13</v>
      </c>
      <c r="M6" s="12">
        <v>11</v>
      </c>
      <c r="N6" s="12">
        <v>1</v>
      </c>
      <c r="O6" s="12">
        <v>1</v>
      </c>
      <c r="P6" s="12">
        <v>0</v>
      </c>
      <c r="Q6" s="12">
        <v>1</v>
      </c>
      <c r="R6" s="12">
        <v>0</v>
      </c>
      <c r="S6" s="12">
        <v>0</v>
      </c>
    </row>
    <row r="7" spans="2:19" x14ac:dyDescent="0.3">
      <c r="B7" s="3" t="s">
        <v>9</v>
      </c>
      <c r="C7" s="3" t="s">
        <v>2</v>
      </c>
      <c r="D7" s="3"/>
      <c r="E7" s="12">
        <v>76</v>
      </c>
      <c r="F7" s="12">
        <v>80</v>
      </c>
      <c r="G7" s="12"/>
      <c r="H7" s="12">
        <v>3</v>
      </c>
      <c r="I7" s="15"/>
      <c r="J7" s="12">
        <v>0</v>
      </c>
      <c r="K7" s="12"/>
      <c r="L7" s="12">
        <v>77</v>
      </c>
      <c r="M7" s="12">
        <v>77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</row>
    <row r="8" spans="2:19" x14ac:dyDescent="0.3">
      <c r="B8" s="3" t="s">
        <v>10</v>
      </c>
      <c r="C8" s="3" t="s">
        <v>3</v>
      </c>
      <c r="D8" s="3"/>
      <c r="E8" s="12">
        <v>12</v>
      </c>
      <c r="F8" s="12">
        <v>25</v>
      </c>
      <c r="G8" s="12"/>
      <c r="H8" s="12">
        <v>4</v>
      </c>
      <c r="I8" s="15"/>
      <c r="J8" s="12">
        <v>0</v>
      </c>
      <c r="K8" s="12"/>
      <c r="L8" s="12">
        <v>21</v>
      </c>
      <c r="M8" s="12">
        <v>13</v>
      </c>
      <c r="N8" s="12">
        <v>0</v>
      </c>
      <c r="O8" s="12">
        <v>8</v>
      </c>
      <c r="P8" s="12">
        <v>6</v>
      </c>
      <c r="Q8" s="12">
        <v>0</v>
      </c>
      <c r="R8" s="12">
        <v>2</v>
      </c>
      <c r="S8" s="12">
        <v>0</v>
      </c>
    </row>
    <row r="9" spans="2:19" s="13" customFormat="1" x14ac:dyDescent="0.3">
      <c r="B9" s="5"/>
      <c r="C9" s="5" t="s">
        <v>6</v>
      </c>
      <c r="D9" s="5"/>
      <c r="E9" s="16">
        <f>SUM(E5:E8)</f>
        <v>113</v>
      </c>
      <c r="F9" s="16">
        <f t="shared" ref="F9:S9" si="0">SUM(F5:F8)</f>
        <v>133</v>
      </c>
      <c r="G9" s="16">
        <f t="shared" si="0"/>
        <v>0</v>
      </c>
      <c r="H9" s="16">
        <f t="shared" si="0"/>
        <v>10</v>
      </c>
      <c r="I9" s="16">
        <f t="shared" si="0"/>
        <v>12</v>
      </c>
      <c r="J9" s="16">
        <f t="shared" si="0"/>
        <v>2</v>
      </c>
      <c r="K9" s="16">
        <f t="shared" si="0"/>
        <v>1</v>
      </c>
      <c r="L9" s="16">
        <f t="shared" si="0"/>
        <v>121</v>
      </c>
      <c r="M9" s="16">
        <f t="shared" si="0"/>
        <v>110</v>
      </c>
      <c r="N9" s="16">
        <f t="shared" si="0"/>
        <v>2</v>
      </c>
      <c r="O9" s="16">
        <f t="shared" si="0"/>
        <v>9</v>
      </c>
      <c r="P9" s="16">
        <f t="shared" si="0"/>
        <v>6</v>
      </c>
      <c r="Q9" s="16">
        <f t="shared" si="0"/>
        <v>1</v>
      </c>
      <c r="R9" s="16">
        <f t="shared" si="0"/>
        <v>2</v>
      </c>
      <c r="S9" s="16">
        <f t="shared" si="0"/>
        <v>0</v>
      </c>
    </row>
  </sheetData>
  <mergeCells count="9">
    <mergeCell ref="G3:I3"/>
    <mergeCell ref="J3:L3"/>
    <mergeCell ref="M3:O3"/>
    <mergeCell ref="P3:S3"/>
    <mergeCell ref="F3:F4"/>
    <mergeCell ref="E3:E4"/>
    <mergeCell ref="C3:C4"/>
    <mergeCell ref="B3:B4"/>
    <mergeCell ref="D3:D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5E43-6F29-4205-A85E-B8E01B76C185}">
  <dimension ref="B1:S8"/>
  <sheetViews>
    <sheetView workbookViewId="0">
      <selection activeCell="D2" sqref="D2:D3"/>
    </sheetView>
  </sheetViews>
  <sheetFormatPr defaultRowHeight="13" x14ac:dyDescent="0.3"/>
  <cols>
    <col min="1" max="1" width="2.81640625" style="10" customWidth="1"/>
    <col min="2" max="2" width="16.6328125" style="10" bestFit="1" customWidth="1"/>
    <col min="3" max="3" width="18.453125" style="10" bestFit="1" customWidth="1"/>
    <col min="4" max="5" width="8.7265625" style="10"/>
    <col min="6" max="13" width="12.90625" style="10" customWidth="1"/>
    <col min="14" max="14" width="12.90625" style="14" customWidth="1"/>
    <col min="15" max="19" width="12.90625" style="10" customWidth="1"/>
    <col min="20" max="16384" width="8.7265625" style="10"/>
  </cols>
  <sheetData>
    <row r="1" spans="2:19" x14ac:dyDescent="0.3">
      <c r="N1" s="10"/>
    </row>
    <row r="2" spans="2:19" ht="15" customHeight="1" x14ac:dyDescent="0.3">
      <c r="B2" s="59" t="s">
        <v>29</v>
      </c>
      <c r="C2" s="59" t="s">
        <v>30</v>
      </c>
      <c r="D2" s="59" t="s">
        <v>42</v>
      </c>
      <c r="E2" s="59" t="s">
        <v>41</v>
      </c>
      <c r="F2" s="58" t="s">
        <v>15</v>
      </c>
      <c r="G2" s="60" t="s">
        <v>4</v>
      </c>
      <c r="H2" s="60"/>
      <c r="I2" s="60"/>
      <c r="J2" s="61" t="s">
        <v>5</v>
      </c>
      <c r="K2" s="61"/>
      <c r="L2" s="61"/>
      <c r="M2" s="62" t="s">
        <v>11</v>
      </c>
      <c r="N2" s="62"/>
      <c r="O2" s="62"/>
      <c r="P2" s="63" t="s">
        <v>12</v>
      </c>
      <c r="Q2" s="63"/>
      <c r="R2" s="63"/>
      <c r="S2" s="63"/>
    </row>
    <row r="3" spans="2:19" ht="39" x14ac:dyDescent="0.3">
      <c r="B3" s="59"/>
      <c r="C3" s="59"/>
      <c r="D3" s="59"/>
      <c r="E3" s="59"/>
      <c r="F3" s="58"/>
      <c r="G3" s="6" t="s">
        <v>13</v>
      </c>
      <c r="H3" s="6" t="s">
        <v>14</v>
      </c>
      <c r="I3" s="6" t="s">
        <v>18</v>
      </c>
      <c r="J3" s="7" t="s">
        <v>16</v>
      </c>
      <c r="K3" s="7" t="s">
        <v>17</v>
      </c>
      <c r="L3" s="7" t="s">
        <v>22</v>
      </c>
      <c r="M3" s="8" t="s">
        <v>19</v>
      </c>
      <c r="N3" s="8" t="s">
        <v>20</v>
      </c>
      <c r="O3" s="8" t="s">
        <v>21</v>
      </c>
      <c r="P3" s="11" t="s">
        <v>23</v>
      </c>
      <c r="Q3" s="11" t="s">
        <v>24</v>
      </c>
      <c r="R3" s="11" t="s">
        <v>25</v>
      </c>
      <c r="S3" s="11" t="s">
        <v>26</v>
      </c>
    </row>
    <row r="4" spans="2:19" x14ac:dyDescent="0.3">
      <c r="B4" s="3" t="s">
        <v>31</v>
      </c>
      <c r="C4" s="3" t="s">
        <v>0</v>
      </c>
      <c r="D4" s="3"/>
      <c r="E4" s="12">
        <v>12</v>
      </c>
      <c r="F4" s="12">
        <v>13</v>
      </c>
      <c r="G4" s="12">
        <v>0</v>
      </c>
      <c r="H4" s="12">
        <v>1</v>
      </c>
      <c r="I4" s="15">
        <f>F4-G4-H4</f>
        <v>12</v>
      </c>
      <c r="J4" s="12">
        <v>2</v>
      </c>
      <c r="K4" s="12">
        <v>1</v>
      </c>
      <c r="L4" s="12">
        <v>10</v>
      </c>
      <c r="M4" s="12">
        <v>9</v>
      </c>
      <c r="N4" s="12">
        <v>1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</row>
    <row r="5" spans="2:19" x14ac:dyDescent="0.3">
      <c r="B5" s="3" t="s">
        <v>32</v>
      </c>
      <c r="C5" s="3" t="s">
        <v>1</v>
      </c>
      <c r="D5" s="3"/>
      <c r="E5" s="12">
        <v>13</v>
      </c>
      <c r="F5" s="12">
        <v>15</v>
      </c>
      <c r="G5" s="12"/>
      <c r="H5" s="12">
        <v>2</v>
      </c>
      <c r="I5" s="15"/>
      <c r="J5" s="12">
        <v>0</v>
      </c>
      <c r="K5" s="12"/>
      <c r="L5" s="12">
        <v>13</v>
      </c>
      <c r="M5" s="12">
        <v>11</v>
      </c>
      <c r="N5" s="12">
        <v>1</v>
      </c>
      <c r="O5" s="12">
        <v>1</v>
      </c>
      <c r="P5" s="12">
        <v>0</v>
      </c>
      <c r="Q5" s="12">
        <v>1</v>
      </c>
      <c r="R5" s="12">
        <v>0</v>
      </c>
      <c r="S5" s="12">
        <v>0</v>
      </c>
    </row>
    <row r="6" spans="2:19" x14ac:dyDescent="0.3">
      <c r="B6" s="3" t="s">
        <v>33</v>
      </c>
      <c r="C6" s="3" t="s">
        <v>2</v>
      </c>
      <c r="D6" s="3"/>
      <c r="E6" s="12">
        <v>76</v>
      </c>
      <c r="F6" s="12">
        <v>80</v>
      </c>
      <c r="G6" s="12"/>
      <c r="H6" s="12">
        <v>3</v>
      </c>
      <c r="I6" s="15"/>
      <c r="J6" s="12">
        <v>0</v>
      </c>
      <c r="K6" s="12"/>
      <c r="L6" s="12">
        <v>77</v>
      </c>
      <c r="M6" s="12">
        <v>77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</row>
    <row r="7" spans="2:19" x14ac:dyDescent="0.3">
      <c r="B7" s="3" t="s">
        <v>34</v>
      </c>
      <c r="C7" s="3" t="s">
        <v>3</v>
      </c>
      <c r="D7" s="3"/>
      <c r="E7" s="12">
        <v>12</v>
      </c>
      <c r="F7" s="12">
        <v>25</v>
      </c>
      <c r="G7" s="12"/>
      <c r="H7" s="12">
        <v>4</v>
      </c>
      <c r="I7" s="15"/>
      <c r="J7" s="12">
        <v>0</v>
      </c>
      <c r="K7" s="12"/>
      <c r="L7" s="12">
        <v>21</v>
      </c>
      <c r="M7" s="12">
        <v>13</v>
      </c>
      <c r="N7" s="12">
        <v>0</v>
      </c>
      <c r="O7" s="12">
        <v>8</v>
      </c>
      <c r="P7" s="12">
        <v>6</v>
      </c>
      <c r="Q7" s="12">
        <v>0</v>
      </c>
      <c r="R7" s="12">
        <v>2</v>
      </c>
      <c r="S7" s="12">
        <v>0</v>
      </c>
    </row>
    <row r="8" spans="2:19" s="13" customFormat="1" x14ac:dyDescent="0.3">
      <c r="B8" s="5"/>
      <c r="C8" s="5" t="s">
        <v>6</v>
      </c>
      <c r="D8" s="5"/>
      <c r="E8" s="16">
        <f>SUM(E4:E7)</f>
        <v>113</v>
      </c>
      <c r="F8" s="16">
        <f t="shared" ref="F8:S8" si="0">SUM(F4:F7)</f>
        <v>133</v>
      </c>
      <c r="G8" s="16">
        <f t="shared" si="0"/>
        <v>0</v>
      </c>
      <c r="H8" s="16">
        <f t="shared" si="0"/>
        <v>10</v>
      </c>
      <c r="I8" s="16">
        <f t="shared" si="0"/>
        <v>12</v>
      </c>
      <c r="J8" s="16">
        <f t="shared" si="0"/>
        <v>2</v>
      </c>
      <c r="K8" s="16">
        <f t="shared" si="0"/>
        <v>1</v>
      </c>
      <c r="L8" s="16">
        <f t="shared" si="0"/>
        <v>121</v>
      </c>
      <c r="M8" s="16">
        <f t="shared" si="0"/>
        <v>110</v>
      </c>
      <c r="N8" s="16">
        <f t="shared" si="0"/>
        <v>2</v>
      </c>
      <c r="O8" s="16">
        <f t="shared" si="0"/>
        <v>9</v>
      </c>
      <c r="P8" s="16">
        <f t="shared" si="0"/>
        <v>6</v>
      </c>
      <c r="Q8" s="16">
        <f t="shared" si="0"/>
        <v>1</v>
      </c>
      <c r="R8" s="16">
        <f t="shared" si="0"/>
        <v>2</v>
      </c>
      <c r="S8" s="16">
        <f t="shared" si="0"/>
        <v>0</v>
      </c>
    </row>
  </sheetData>
  <mergeCells count="9">
    <mergeCell ref="J2:L2"/>
    <mergeCell ref="M2:O2"/>
    <mergeCell ref="P2:S2"/>
    <mergeCell ref="B2:B3"/>
    <mergeCell ref="C2:C3"/>
    <mergeCell ref="D2:D3"/>
    <mergeCell ref="E2:E3"/>
    <mergeCell ref="F2:F3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Division</vt:lpstr>
      <vt:lpstr>ZBM</vt:lpstr>
      <vt:lpstr>ABM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2025-09-24T05:52:36Z</dcterms:created>
  <dcterms:modified xsi:type="dcterms:W3CDTF">2025-09-24T10:51:35Z</dcterms:modified>
</cp:coreProperties>
</file>