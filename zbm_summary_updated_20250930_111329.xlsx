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AWARUX1\email\"/>
    </mc:Choice>
  </mc:AlternateContent>
  <xr:revisionPtr revIDLastSave="0" documentId="13_ncr:1_{0C38EA60-8EB5-453A-8E51-C68A9B4C800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ivision" sheetId="1" r:id="rId1"/>
    <sheet name="ZBM" sheetId="2" r:id="rId2"/>
    <sheet name="AB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3" l="1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I4" i="3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I4" i="1"/>
</calcChain>
</file>

<file path=xl/sharedStrings.xml><?xml version="1.0" encoding="utf-8"?>
<sst xmlns="http://schemas.openxmlformats.org/spreadsheetml/2006/main" count="166" uniqueCount="120">
  <si>
    <t>YTD</t>
  </si>
  <si>
    <t>Zone Name</t>
  </si>
  <si>
    <t>ZBM Name</t>
  </si>
  <si>
    <t># Unique TBMs</t>
  </si>
  <si>
    <t># Unique HCPs</t>
  </si>
  <si>
    <t># Requests Raised
(A+B+C)</t>
  </si>
  <si>
    <t>HO</t>
  </si>
  <si>
    <t>HUB</t>
  </si>
  <si>
    <t>Delivery Status</t>
  </si>
  <si>
    <t>RTO Reasons</t>
  </si>
  <si>
    <t>Request Cancelled / Out of Stock (A)</t>
  </si>
  <si>
    <t>Action pending / In Process At HO (B)</t>
  </si>
  <si>
    <t>Sent to HUB ('C)
(D+E+F)</t>
  </si>
  <si>
    <t>Pending for Invoicing (D)</t>
  </si>
  <si>
    <t>Pending for Dispatch (E)</t>
  </si>
  <si>
    <t># Requests Dispatched (F)
(G+H+I)</t>
  </si>
  <si>
    <t>Delivered (G)</t>
  </si>
  <si>
    <t>Dispatched &amp; In Transit (H)</t>
  </si>
  <si>
    <t>RTO (I)</t>
  </si>
  <si>
    <t>Incomplete Address</t>
  </si>
  <si>
    <t>Doctor Non Contactable</t>
  </si>
  <si>
    <t>Doctor Refused to Accept</t>
  </si>
  <si>
    <t>Hold Delivery</t>
  </si>
  <si>
    <t>ZN0001 - Ahmedabad</t>
  </si>
  <si>
    <t>Munish Kalra</t>
  </si>
  <si>
    <t>ZN0002 - Mumbai</t>
  </si>
  <si>
    <t>Ankit Kumar Tiwari</t>
  </si>
  <si>
    <t>ZN0003 - Pune</t>
  </si>
  <si>
    <t>Tumma Kumar Prakash</t>
  </si>
  <si>
    <t>ZN0004 - Nagpur</t>
  </si>
  <si>
    <t>ATAUR RAHAMAN</t>
  </si>
  <si>
    <t>Total</t>
  </si>
  <si>
    <t>ABM Name</t>
  </si>
  <si>
    <t>Area Name</t>
  </si>
  <si>
    <t>AHMEDABAD - IA000009</t>
  </si>
  <si>
    <t>Ruchit Rajendrakumar Andharia</t>
  </si>
  <si>
    <t>AHMEDABAD - IA000504</t>
  </si>
  <si>
    <t>Anurag Dadhich</t>
  </si>
  <si>
    <t>AHMEDABAD - IA000678</t>
  </si>
  <si>
    <t>Ankit Vishnubhai Panchal</t>
  </si>
  <si>
    <t>AHMEDABAD - IA000779</t>
  </si>
  <si>
    <t>Narendra H Shah</t>
  </si>
  <si>
    <t>AHMEDABAD - IA000806</t>
  </si>
  <si>
    <t>Mehul Kumar Bharat Kumar Pandya</t>
  </si>
  <si>
    <t>AHMEDABAD - IA001386</t>
  </si>
  <si>
    <t>Nilesh Kumar</t>
  </si>
  <si>
    <t>AHMEDABAD - IA001525</t>
  </si>
  <si>
    <t>Priyank Rakeshbhai Jain</t>
  </si>
  <si>
    <t>AHMEDABAD - IA001861</t>
  </si>
  <si>
    <t>PRAMOD KUMAR TIWARI</t>
  </si>
  <si>
    <t>AHMEDABAD - IA001891</t>
  </si>
  <si>
    <t>AMIT SAXENA</t>
  </si>
  <si>
    <t>AHMEDABAD - IA002963</t>
  </si>
  <si>
    <t>Arati Dipakkumar Bhavsar</t>
  </si>
  <si>
    <t>AHMEDABAD - IA004131</t>
  </si>
  <si>
    <t>JIGNESH SHAH</t>
  </si>
  <si>
    <t>AHMEDABAD - IA005307</t>
  </si>
  <si>
    <t>RAVI PRAKASH PANDEY</t>
  </si>
  <si>
    <t>AHMEDABAD - ZN000015</t>
  </si>
  <si>
    <t>Sachin Dhopate</t>
  </si>
  <si>
    <t>MUMBAI - IA001442</t>
  </si>
  <si>
    <t>ATUL TAMBE</t>
  </si>
  <si>
    <t>MUMBAI - IA001519</t>
  </si>
  <si>
    <t>KHILAN PUROHIT</t>
  </si>
  <si>
    <t>MUMBAI - IA003543</t>
  </si>
  <si>
    <t>SANJAY PANSARE</t>
  </si>
  <si>
    <t>MUMBAI - IA003690</t>
  </si>
  <si>
    <t>SANTOSH B BHANGARE</t>
  </si>
  <si>
    <t>MUMBAI - IA004350</t>
  </si>
  <si>
    <t>SUSHMA V. JADHAV</t>
  </si>
  <si>
    <t>MUMBAI - IA005557</t>
  </si>
  <si>
    <t>VIKAS YADAV</t>
  </si>
  <si>
    <t>NAGPUR - IA000557</t>
  </si>
  <si>
    <t>Neeraj Inchulkar</t>
  </si>
  <si>
    <t>NAGPUR - IA000770</t>
  </si>
  <si>
    <t>Nandkishor Dhanraj Chopkar</t>
  </si>
  <si>
    <t>NAGPUR - IA001418</t>
  </si>
  <si>
    <t>GIRISH LALWANI</t>
  </si>
  <si>
    <t>NAGPUR - IA001477</t>
  </si>
  <si>
    <t>ASHISH MADHUKAR PUNKAR</t>
  </si>
  <si>
    <t>NAGPUR - IA001913</t>
  </si>
  <si>
    <t>ASHOK DUBEY</t>
  </si>
  <si>
    <t>NAGPUR - IA002544</t>
  </si>
  <si>
    <t>Mahatab Ajmat Khan</t>
  </si>
  <si>
    <t>NAGPUR - IA003886</t>
  </si>
  <si>
    <t>Kailas Chaudhari</t>
  </si>
  <si>
    <t>NAGPUR - IA005304</t>
  </si>
  <si>
    <t>PANKAJ UMARE</t>
  </si>
  <si>
    <t>NAGPUR - IA005525</t>
  </si>
  <si>
    <t>Sudhir Kshirsagar</t>
  </si>
  <si>
    <t>PUNE - IA000035</t>
  </si>
  <si>
    <t>Rahul D Chavan</t>
  </si>
  <si>
    <t>PUNE - IA000216</t>
  </si>
  <si>
    <t>Jayadeep Jayawantrao Patil</t>
  </si>
  <si>
    <t>PUNE - IA000558</t>
  </si>
  <si>
    <t>Goraksha B Bhalerao</t>
  </si>
  <si>
    <t>PUNE - IA000692</t>
  </si>
  <si>
    <t>Amol Deshpande</t>
  </si>
  <si>
    <t>PUNE - IA000771</t>
  </si>
  <si>
    <t>Mansi Srivastava</t>
  </si>
  <si>
    <t>PUNE - IA000820</t>
  </si>
  <si>
    <t>Bajirao Baburao Hogale</t>
  </si>
  <si>
    <t>PUNE - IA001423</t>
  </si>
  <si>
    <t>Suhas Bhausaheb Pathare</t>
  </si>
  <si>
    <t>PUNE - IA001530</t>
  </si>
  <si>
    <t>JITENDRA GUPTA</t>
  </si>
  <si>
    <t>PUNE - IA001864</t>
  </si>
  <si>
    <t>Shivaji Sugriv Munde</t>
  </si>
  <si>
    <t>PUNE - IA002411</t>
  </si>
  <si>
    <t>VINAYAK ASHOK PATIL</t>
  </si>
  <si>
    <t>PUNE - IA004352</t>
  </si>
  <si>
    <t>PUNIT KUMAR SINGH</t>
  </si>
  <si>
    <t>PUNE - IA005302</t>
  </si>
  <si>
    <t>Hemant Mohan Taware</t>
  </si>
  <si>
    <t>HQ</t>
  </si>
  <si>
    <t>TBM Name</t>
  </si>
  <si>
    <t>IT0001 - Ahmedabad</t>
  </si>
  <si>
    <t>IT0002 - Mumbai</t>
  </si>
  <si>
    <t>IT0003 - Pune</t>
  </si>
  <si>
    <t>IT0004 - Nagpur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</si>
</sst>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rgb="FF000000"/>
      <name val="Aptos Narrow"/>
      <family val="2"/>
    </font>
    <font>
      <sz val="10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b/>
      <sz val="10"/>
      <color rgb="FF000000"/>
      <name val="Aptos Narrow"/>
      <family val="2"/>
    </font>
    <font>
      <b/>
      <sz val="10"/>
      <color rgb="FFFFFFFF"/>
      <name val="Calibri"/>
      <family val="2"/>
    </font>
    <font>
      <b/>
      <sz val="10"/>
      <color rgb="FF000000"/>
      <name val="Times New Roman"/>
      <family val="1"/>
    </font>
    <font>
      <b/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5EDFF"/>
        <bgColor indexed="64"/>
      </patternFill>
    </fill>
    <fill>
      <patternFill patternType="solid">
        <fgColor rgb="FF009C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0" fillId="0" borderId="0" xfId="0"/>
    <xf numFmtId="0" fontId="2" fillId="4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1" fillId="0" borderId="0" xfId="0" applyFont="1"/>
    <xf numFmtId="0" fontId="10" fillId="0" borderId="0" xfId="0" applyFont="1"/>
    <xf numFmtId="0" fontId="10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4" borderId="7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5" fillId="4" borderId="8" xfId="0" applyFont="1" applyFill="1" applyBorder="1" applyAlignment="1">
      <alignment vertical="center"/>
    </xf>
    <xf numFmtId="0" fontId="5" fillId="4" borderId="9" xfId="0" applyFont="1" applyFill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9" fillId="6" borderId="4" xfId="0" applyFont="1" applyFill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0" fillId="0" borderId="16" xfId="0" applyBorder="1"/>
    <xf numFmtId="0" fontId="5" fillId="0" borderId="4" xfId="0" applyFont="1" applyBorder="1" applyAlignment="1">
      <alignment horizontal="center" vertical="center" wrapText="1"/>
    </xf>
    <xf numFmtId="0" fontId="0" fillId="0" borderId="15" xfId="0" applyBorder="1"/>
    <xf numFmtId="0" fontId="7" fillId="3" borderId="10" xfId="0" applyFont="1" applyFill="1" applyBorder="1" applyAlignment="1">
      <alignment horizontal="center" vertical="center" wrapText="1"/>
    </xf>
    <xf numFmtId="0" fontId="0" fillId="0" borderId="18" xfId="0" applyBorder="1"/>
    <xf numFmtId="0" fontId="5" fillId="0" borderId="6" xfId="0" applyFont="1" applyBorder="1" applyAlignment="1">
      <alignment horizontal="center" vertical="center" wrapText="1"/>
    </xf>
    <xf numFmtId="0" fontId="0" fillId="0" borderId="17" xfId="0" applyBorder="1"/>
    <xf numFmtId="0" fontId="9" fillId="7" borderId="4" xfId="0" applyFont="1" applyFill="1" applyBorder="1" applyAlignment="1">
      <alignment horizontal="center"/>
    </xf>
    <xf numFmtId="0" fontId="9" fillId="8" borderId="4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11" fillId="6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zoomScale="99" zoomScaleNormal="99" workbookViewId="0">
      <selection activeCell="C4" sqref="C4"/>
    </sheetView>
  </sheetViews>
  <sheetFormatPr defaultRowHeight="14.5" x14ac:dyDescent="0.35"/>
  <cols>
    <col min="1" max="1" width="2.81640625" style="2" customWidth="1"/>
    <col min="2" max="2" width="17.54296875" style="2" bestFit="1" customWidth="1"/>
    <col min="3" max="3" width="18.6328125" style="2" bestFit="1" customWidth="1"/>
    <col min="6" max="19" width="11.1796875" style="2" customWidth="1"/>
  </cols>
  <sheetData>
    <row r="1" spans="2:20" ht="15" customHeight="1" thickBot="1" x14ac:dyDescent="0.4">
      <c r="B1" t="s">
        <v>0</v>
      </c>
    </row>
    <row r="2" spans="2:20" ht="15" customHeight="1" x14ac:dyDescent="0.35">
      <c r="B2" s="41" t="s">
        <v>1</v>
      </c>
      <c r="C2" s="39" t="s">
        <v>2</v>
      </c>
      <c r="D2" s="39" t="s">
        <v>3</v>
      </c>
      <c r="E2" s="45" t="s">
        <v>4</v>
      </c>
      <c r="F2" s="43" t="s">
        <v>5</v>
      </c>
      <c r="G2" s="35" t="s">
        <v>6</v>
      </c>
      <c r="H2" s="36"/>
      <c r="I2" s="37"/>
      <c r="J2" s="38" t="s">
        <v>7</v>
      </c>
      <c r="K2" s="36"/>
      <c r="L2" s="37"/>
      <c r="M2" s="47" t="s">
        <v>8</v>
      </c>
      <c r="N2" s="36"/>
      <c r="O2" s="37"/>
      <c r="P2" s="48" t="s">
        <v>9</v>
      </c>
      <c r="Q2" s="36"/>
      <c r="R2" s="36"/>
      <c r="S2" s="37"/>
      <c r="T2" s="1"/>
    </row>
    <row r="3" spans="2:20" ht="52" customHeight="1" x14ac:dyDescent="0.35">
      <c r="B3" s="42"/>
      <c r="C3" s="40"/>
      <c r="D3" s="40"/>
      <c r="E3" s="46"/>
      <c r="F3" s="44"/>
      <c r="G3" s="23" t="s">
        <v>10</v>
      </c>
      <c r="H3" s="6" t="s">
        <v>11</v>
      </c>
      <c r="I3" s="24" t="s">
        <v>12</v>
      </c>
      <c r="J3" s="29" t="s">
        <v>13</v>
      </c>
      <c r="K3" s="7" t="s">
        <v>14</v>
      </c>
      <c r="L3" s="30" t="s">
        <v>15</v>
      </c>
      <c r="M3" s="31" t="s">
        <v>16</v>
      </c>
      <c r="N3" s="8" t="s">
        <v>17</v>
      </c>
      <c r="O3" s="32" t="s">
        <v>18</v>
      </c>
      <c r="P3" s="33" t="s">
        <v>19</v>
      </c>
      <c r="Q3" s="9" t="s">
        <v>20</v>
      </c>
      <c r="R3" s="9" t="s">
        <v>21</v>
      </c>
      <c r="S3" s="34" t="s">
        <v>22</v>
      </c>
    </row>
    <row r="4" spans="2:20" x14ac:dyDescent="0.35">
      <c r="B4" s="16" t="s">
        <v>23</v>
      </c>
      <c r="C4" s="3" t="s">
        <v>24</v>
      </c>
      <c r="D4" s="3"/>
      <c r="E4" s="17">
        <v>12</v>
      </c>
      <c r="F4" s="21">
        <v>13</v>
      </c>
      <c r="G4" s="25">
        <v>0</v>
      </c>
      <c r="H4" s="4">
        <v>1</v>
      </c>
      <c r="I4" s="26">
        <f>F4-G4-H4</f>
        <v>12</v>
      </c>
      <c r="J4" s="25">
        <v>2</v>
      </c>
      <c r="K4" s="4">
        <v>1</v>
      </c>
      <c r="L4" s="17">
        <v>10</v>
      </c>
      <c r="M4" s="25">
        <v>9</v>
      </c>
      <c r="N4" s="4">
        <v>1</v>
      </c>
      <c r="O4" s="17">
        <v>0</v>
      </c>
      <c r="P4" s="25">
        <v>0</v>
      </c>
      <c r="Q4" s="4">
        <v>0</v>
      </c>
      <c r="R4" s="4">
        <v>0</v>
      </c>
      <c r="S4" s="17">
        <v>0</v>
      </c>
    </row>
    <row r="5" spans="2:20" x14ac:dyDescent="0.35">
      <c r="B5" s="16" t="s">
        <v>25</v>
      </c>
      <c r="C5" s="3" t="s">
        <v>26</v>
      </c>
      <c r="D5" s="3"/>
      <c r="E5" s="17">
        <v>13</v>
      </c>
      <c r="F5" s="21">
        <v>15</v>
      </c>
      <c r="G5" s="25"/>
      <c r="H5" s="4">
        <v>2</v>
      </c>
      <c r="I5" s="26"/>
      <c r="J5" s="25">
        <v>0</v>
      </c>
      <c r="K5" s="4"/>
      <c r="L5" s="17">
        <v>13</v>
      </c>
      <c r="M5" s="25">
        <v>11</v>
      </c>
      <c r="N5" s="4">
        <v>1</v>
      </c>
      <c r="O5" s="17">
        <v>1</v>
      </c>
      <c r="P5" s="25">
        <v>0</v>
      </c>
      <c r="Q5" s="4">
        <v>1</v>
      </c>
      <c r="R5" s="4">
        <v>0</v>
      </c>
      <c r="S5" s="17">
        <v>0</v>
      </c>
    </row>
    <row r="6" spans="2:20" x14ac:dyDescent="0.35">
      <c r="B6" s="16" t="s">
        <v>27</v>
      </c>
      <c r="C6" s="3" t="s">
        <v>28</v>
      </c>
      <c r="D6" s="3"/>
      <c r="E6" s="17">
        <v>76</v>
      </c>
      <c r="F6" s="21">
        <v>80</v>
      </c>
      <c r="G6" s="25"/>
      <c r="H6" s="4">
        <v>3</v>
      </c>
      <c r="I6" s="26"/>
      <c r="J6" s="25">
        <v>0</v>
      </c>
      <c r="K6" s="4"/>
      <c r="L6" s="17">
        <v>77</v>
      </c>
      <c r="M6" s="25">
        <v>77</v>
      </c>
      <c r="N6" s="4">
        <v>0</v>
      </c>
      <c r="O6" s="17">
        <v>0</v>
      </c>
      <c r="P6" s="25">
        <v>0</v>
      </c>
      <c r="Q6" s="4">
        <v>0</v>
      </c>
      <c r="R6" s="4">
        <v>0</v>
      </c>
      <c r="S6" s="17">
        <v>0</v>
      </c>
    </row>
    <row r="7" spans="2:20" x14ac:dyDescent="0.35">
      <c r="B7" s="16" t="s">
        <v>29</v>
      </c>
      <c r="C7" s="3" t="s">
        <v>30</v>
      </c>
      <c r="D7" s="3"/>
      <c r="E7" s="17">
        <v>12</v>
      </c>
      <c r="F7" s="21">
        <v>25</v>
      </c>
      <c r="G7" s="25"/>
      <c r="H7" s="4">
        <v>4</v>
      </c>
      <c r="I7" s="26"/>
      <c r="J7" s="25">
        <v>0</v>
      </c>
      <c r="K7" s="4"/>
      <c r="L7" s="17">
        <v>21</v>
      </c>
      <c r="M7" s="25">
        <v>13</v>
      </c>
      <c r="N7" s="4">
        <v>0</v>
      </c>
      <c r="O7" s="17">
        <v>8</v>
      </c>
      <c r="P7" s="25">
        <v>6</v>
      </c>
      <c r="Q7" s="4">
        <v>0</v>
      </c>
      <c r="R7" s="4">
        <v>2</v>
      </c>
      <c r="S7" s="17">
        <v>0</v>
      </c>
    </row>
    <row r="8" spans="2:20" s="1" customFormat="1" ht="15" customHeight="1" thickBot="1" x14ac:dyDescent="0.4">
      <c r="B8" s="18"/>
      <c r="C8" s="19" t="s">
        <v>31</v>
      </c>
      <c r="D8" s="19"/>
      <c r="E8" s="20">
        <f t="shared" ref="E8:S8" si="0">SUM(E4:E7)</f>
        <v>113</v>
      </c>
      <c r="F8" s="22">
        <f t="shared" si="0"/>
        <v>133</v>
      </c>
      <c r="G8" s="27">
        <f t="shared" si="0"/>
        <v>0</v>
      </c>
      <c r="H8" s="28">
        <f t="shared" si="0"/>
        <v>10</v>
      </c>
      <c r="I8" s="20">
        <f t="shared" si="0"/>
        <v>12</v>
      </c>
      <c r="J8" s="27">
        <f t="shared" si="0"/>
        <v>2</v>
      </c>
      <c r="K8" s="28">
        <f t="shared" si="0"/>
        <v>1</v>
      </c>
      <c r="L8" s="20">
        <f t="shared" si="0"/>
        <v>121</v>
      </c>
      <c r="M8" s="27">
        <f t="shared" si="0"/>
        <v>110</v>
      </c>
      <c r="N8" s="28">
        <f t="shared" si="0"/>
        <v>2</v>
      </c>
      <c r="O8" s="20">
        <f t="shared" si="0"/>
        <v>9</v>
      </c>
      <c r="P8" s="27">
        <f t="shared" si="0"/>
        <v>6</v>
      </c>
      <c r="Q8" s="28">
        <f t="shared" si="0"/>
        <v>1</v>
      </c>
      <c r="R8" s="28">
        <f t="shared" si="0"/>
        <v>2</v>
      </c>
      <c r="S8" s="20">
        <f t="shared" si="0"/>
        <v>0</v>
      </c>
    </row>
  </sheetData>
  <mergeCells count="9">
    <mergeCell ref="M2:O2"/>
    <mergeCell ref="P2:S2"/>
    <mergeCell ref="G2:I2"/>
    <mergeCell ref="J2:L2"/>
    <mergeCell ref="C2:C3"/>
    <mergeCell ref="B2:B3"/>
    <mergeCell ref="D2:D3"/>
    <mergeCell ref="F2:F3"/>
    <mergeCell ref="E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43"/>
  <sheetViews>
    <sheetView tabSelected="1" topLeftCell="H1" zoomScale="115" zoomScaleNormal="115" workbookViewId="0">
      <selection activeCell="N8" sqref="N8"/>
    </sheetView>
  </sheetViews>
  <sheetFormatPr defaultRowHeight="13" x14ac:dyDescent="0.3"/>
  <cols>
    <col min="1" max="1" width="2.81640625" style="13" customWidth="1"/>
    <col min="2" max="2" width="19.90625" style="13" bestFit="1" customWidth="1"/>
    <col min="3" max="3" width="28.36328125" style="13" bestFit="1" customWidth="1"/>
    <col min="4" max="4" width="12.36328125" style="13" bestFit="1" customWidth="1"/>
    <col min="5" max="5" width="12.08984375" style="13" bestFit="1" customWidth="1"/>
    <col min="6" max="6" width="9.08984375" style="13" bestFit="1" customWidth="1"/>
    <col min="7" max="7" width="14.90625" style="13" bestFit="1" customWidth="1"/>
    <col min="8" max="8" width="13.7265625" style="13" bestFit="1" customWidth="1"/>
    <col min="9" max="9" width="13.1796875" style="13" bestFit="1" customWidth="1"/>
    <col min="10" max="10" width="10.26953125" style="13" bestFit="1" customWidth="1"/>
    <col min="11" max="11" width="9.90625" style="13" bestFit="1" customWidth="1"/>
    <col min="12" max="12" width="11.7265625" style="13" bestFit="1" customWidth="1"/>
    <col min="13" max="13" width="10.81640625" style="13" bestFit="1" customWidth="1"/>
    <col min="14" max="14" width="13.08984375" style="13" bestFit="1" customWidth="1"/>
    <col min="15" max="15" width="6" style="13" bestFit="1" customWidth="1"/>
    <col min="16" max="16" width="9.36328125" style="13" bestFit="1" customWidth="1"/>
    <col min="17" max="17" width="10" style="13" bestFit="1" customWidth="1"/>
    <col min="18" max="18" width="12.54296875" style="13" bestFit="1" customWidth="1"/>
    <col min="19" max="19" width="11.08984375" style="13" bestFit="1" customWidth="1"/>
    <col min="20" max="20" width="8.7265625" style="13" customWidth="1"/>
    <col min="21" max="16384" width="8.7265625" style="13"/>
  </cols>
  <sheetData>
    <row r="1" spans="2:19" ht="15" customHeight="1" x14ac:dyDescent="0.35">
      <c r="B1" s="53" t="s">
        <v>33</v>
      </c>
      <c r="C1" s="53" t="s">
        <v>32</v>
      </c>
      <c r="D1" s="53" t="s">
        <v>3</v>
      </c>
      <c r="E1" s="53" t="s">
        <v>4</v>
      </c>
      <c r="F1" s="54" t="s">
        <v>5</v>
      </c>
      <c r="G1" s="49" t="s">
        <v>6</v>
      </c>
      <c r="H1" s="50"/>
      <c r="I1" s="51"/>
      <c r="J1" s="52" t="s">
        <v>7</v>
      </c>
      <c r="K1" s="50"/>
      <c r="L1" s="51"/>
      <c r="M1" s="55" t="s">
        <v>8</v>
      </c>
      <c r="N1" s="50"/>
      <c r="O1" s="51"/>
      <c r="P1" s="56" t="s">
        <v>9</v>
      </c>
      <c r="Q1" s="50"/>
      <c r="R1" s="50"/>
      <c r="S1" s="51"/>
    </row>
    <row r="2" spans="2:19" ht="39" customHeight="1" x14ac:dyDescent="0.3">
      <c r="B2" s="40"/>
      <c r="C2" s="40"/>
      <c r="D2" s="40"/>
      <c r="E2" s="40"/>
      <c r="F2" s="40"/>
      <c r="G2" s="6" t="s">
        <v>10</v>
      </c>
      <c r="H2" s="6" t="s">
        <v>11</v>
      </c>
      <c r="I2" s="6" t="s">
        <v>12</v>
      </c>
      <c r="J2" s="7" t="s">
        <v>13</v>
      </c>
      <c r="K2" s="7" t="s">
        <v>14</v>
      </c>
      <c r="L2" s="7" t="s">
        <v>15</v>
      </c>
      <c r="M2" s="8" t="s">
        <v>16</v>
      </c>
      <c r="N2" s="8" t="s">
        <v>17</v>
      </c>
      <c r="O2" s="8" t="s">
        <v>18</v>
      </c>
      <c r="P2" s="10" t="s">
        <v>19</v>
      </c>
      <c r="Q2" s="10" t="s">
        <v>20</v>
      </c>
      <c r="R2" s="10" t="s">
        <v>21</v>
      </c>
      <c r="S2" s="10" t="s">
        <v>22</v>
      </c>
    </row>
    <row r="3" spans="2:19" x14ac:dyDescent="0.3">
      <c r="B3" s="3" t="s">
        <v>34</v>
      </c>
      <c r="C3" s="3" t="s">
        <v>35</v>
      </c>
      <c r="D3" s="3"/>
      <c r="E3" s="11">
        <v>165</v>
      </c>
      <c r="F3" s="11">
        <v>127</v>
      </c>
      <c r="G3" s="11">
        <v>2</v>
      </c>
      <c r="H3" s="11">
        <v>0</v>
      </c>
      <c r="I3" s="14">
        <v>125</v>
      </c>
      <c r="J3" s="11">
        <v>0</v>
      </c>
      <c r="K3" s="11">
        <v>0</v>
      </c>
      <c r="L3" s="11">
        <v>125</v>
      </c>
      <c r="M3" s="11">
        <v>125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</row>
    <row r="4" spans="2:19" x14ac:dyDescent="0.3">
      <c r="B4" s="3" t="s">
        <v>36</v>
      </c>
      <c r="C4" s="3" t="s">
        <v>37</v>
      </c>
      <c r="D4" s="3"/>
      <c r="E4" s="11">
        <v>1</v>
      </c>
      <c r="F4" s="11">
        <v>0</v>
      </c>
      <c r="G4" s="11">
        <v>0</v>
      </c>
      <c r="H4" s="11">
        <v>0</v>
      </c>
      <c r="I4" s="14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</row>
    <row r="5" spans="2:19" x14ac:dyDescent="0.3">
      <c r="B5" s="3" t="s">
        <v>38</v>
      </c>
      <c r="C5" s="3" t="s">
        <v>39</v>
      </c>
      <c r="D5" s="3"/>
      <c r="E5" s="11">
        <v>32</v>
      </c>
      <c r="F5" s="11">
        <v>30</v>
      </c>
      <c r="G5" s="11">
        <v>5</v>
      </c>
      <c r="H5" s="11">
        <v>0</v>
      </c>
      <c r="I5" s="14">
        <v>25</v>
      </c>
      <c r="J5" s="11">
        <v>0</v>
      </c>
      <c r="K5" s="11">
        <v>0</v>
      </c>
      <c r="L5" s="11">
        <v>25</v>
      </c>
      <c r="M5" s="11">
        <v>15</v>
      </c>
      <c r="N5" s="11">
        <v>10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</row>
    <row r="6" spans="2:19" x14ac:dyDescent="0.3">
      <c r="B6" s="3" t="s">
        <v>40</v>
      </c>
      <c r="C6" s="3" t="s">
        <v>41</v>
      </c>
      <c r="D6" s="3"/>
      <c r="E6" s="11">
        <v>9</v>
      </c>
      <c r="F6" s="11">
        <v>10</v>
      </c>
      <c r="G6" s="11">
        <v>0</v>
      </c>
      <c r="H6" s="11">
        <v>0</v>
      </c>
      <c r="I6" s="14">
        <v>10</v>
      </c>
      <c r="J6" s="11">
        <v>0</v>
      </c>
      <c r="K6" s="11">
        <v>0</v>
      </c>
      <c r="L6" s="11">
        <v>10</v>
      </c>
      <c r="M6" s="11">
        <v>9</v>
      </c>
      <c r="N6" s="11">
        <v>1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</row>
    <row r="7" spans="2:19" s="12" customFormat="1" x14ac:dyDescent="0.3">
      <c r="B7" s="3" t="s">
        <v>42</v>
      </c>
      <c r="C7" s="3" t="s">
        <v>43</v>
      </c>
      <c r="D7" s="3"/>
      <c r="E7" s="11">
        <v>70</v>
      </c>
      <c r="F7" s="11">
        <v>69</v>
      </c>
      <c r="G7" s="11">
        <v>9</v>
      </c>
      <c r="H7" s="11">
        <v>0</v>
      </c>
      <c r="I7" s="14">
        <v>60</v>
      </c>
      <c r="J7" s="11">
        <v>0</v>
      </c>
      <c r="K7" s="11">
        <v>0</v>
      </c>
      <c r="L7" s="11">
        <v>60</v>
      </c>
      <c r="M7" s="11">
        <v>50</v>
      </c>
      <c r="N7" s="11">
        <v>10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</row>
    <row r="8" spans="2:19" x14ac:dyDescent="0.3">
      <c r="B8" s="3" t="s">
        <v>44</v>
      </c>
      <c r="C8" s="3" t="s">
        <v>45</v>
      </c>
      <c r="D8" s="3"/>
      <c r="E8" s="11">
        <v>130</v>
      </c>
      <c r="F8" s="11">
        <v>131</v>
      </c>
      <c r="G8" s="11">
        <v>4</v>
      </c>
      <c r="H8" s="11">
        <v>0</v>
      </c>
      <c r="I8" s="14">
        <v>127</v>
      </c>
      <c r="J8" s="11">
        <v>0</v>
      </c>
      <c r="K8" s="11">
        <v>0</v>
      </c>
      <c r="L8" s="11">
        <v>127</v>
      </c>
      <c r="M8" s="11">
        <v>121</v>
      </c>
      <c r="N8" s="11">
        <v>6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</row>
    <row r="9" spans="2:19" x14ac:dyDescent="0.3">
      <c r="B9" s="3" t="s">
        <v>46</v>
      </c>
      <c r="C9" s="3" t="s">
        <v>47</v>
      </c>
      <c r="D9" s="3"/>
      <c r="E9" s="11">
        <v>14</v>
      </c>
      <c r="F9" s="11">
        <v>13</v>
      </c>
      <c r="G9" s="11">
        <v>0</v>
      </c>
      <c r="H9" s="11">
        <v>0</v>
      </c>
      <c r="I9" s="14">
        <v>13</v>
      </c>
      <c r="J9" s="11">
        <v>0</v>
      </c>
      <c r="K9" s="11">
        <v>0</v>
      </c>
      <c r="L9" s="11">
        <v>13</v>
      </c>
      <c r="M9" s="11">
        <v>11</v>
      </c>
      <c r="N9" s="11">
        <v>2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</row>
    <row r="10" spans="2:19" x14ac:dyDescent="0.3">
      <c r="B10" s="3" t="s">
        <v>48</v>
      </c>
      <c r="C10" s="3" t="s">
        <v>49</v>
      </c>
      <c r="D10" s="3"/>
      <c r="E10" s="11">
        <v>2</v>
      </c>
      <c r="F10" s="11">
        <v>1</v>
      </c>
      <c r="G10" s="11">
        <v>0</v>
      </c>
      <c r="H10" s="11">
        <v>0</v>
      </c>
      <c r="I10" s="14">
        <v>1</v>
      </c>
      <c r="J10" s="11">
        <v>0</v>
      </c>
      <c r="K10" s="11">
        <v>0</v>
      </c>
      <c r="L10" s="11">
        <v>1</v>
      </c>
      <c r="M10" s="11">
        <v>1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</row>
    <row r="11" spans="2:19" x14ac:dyDescent="0.3">
      <c r="B11" s="3" t="s">
        <v>50</v>
      </c>
      <c r="C11" s="3" t="s">
        <v>51</v>
      </c>
      <c r="D11" s="3"/>
      <c r="E11" s="11">
        <v>9</v>
      </c>
      <c r="F11" s="11">
        <v>8</v>
      </c>
      <c r="G11" s="11">
        <v>0</v>
      </c>
      <c r="H11" s="11">
        <v>0</v>
      </c>
      <c r="I11" s="14">
        <v>8</v>
      </c>
      <c r="J11" s="11">
        <v>0</v>
      </c>
      <c r="K11" s="11">
        <v>0</v>
      </c>
      <c r="L11" s="11">
        <v>8</v>
      </c>
      <c r="M11" s="11">
        <v>8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</row>
    <row r="12" spans="2:19" x14ac:dyDescent="0.3">
      <c r="B12" s="3" t="s">
        <v>52</v>
      </c>
      <c r="C12" s="3" t="s">
        <v>53</v>
      </c>
      <c r="D12" s="3"/>
      <c r="E12" s="11">
        <v>41</v>
      </c>
      <c r="F12" s="11">
        <v>42</v>
      </c>
      <c r="G12" s="11">
        <v>0</v>
      </c>
      <c r="H12" s="11">
        <v>0</v>
      </c>
      <c r="I12" s="14">
        <v>42</v>
      </c>
      <c r="J12" s="11">
        <v>0</v>
      </c>
      <c r="K12" s="11">
        <v>0</v>
      </c>
      <c r="L12" s="11">
        <v>42</v>
      </c>
      <c r="M12" s="11">
        <v>39</v>
      </c>
      <c r="N12" s="11">
        <v>3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</row>
    <row r="13" spans="2:19" x14ac:dyDescent="0.3">
      <c r="B13" s="3" t="s">
        <v>54</v>
      </c>
      <c r="C13" s="3" t="s">
        <v>55</v>
      </c>
      <c r="D13" s="3"/>
      <c r="E13" s="11">
        <v>3</v>
      </c>
      <c r="F13" s="11">
        <v>1</v>
      </c>
      <c r="G13" s="11">
        <v>0</v>
      </c>
      <c r="H13" s="11">
        <v>0</v>
      </c>
      <c r="I13" s="14">
        <v>1</v>
      </c>
      <c r="J13" s="11">
        <v>0</v>
      </c>
      <c r="K13" s="11">
        <v>0</v>
      </c>
      <c r="L13" s="11">
        <v>1</v>
      </c>
      <c r="M13" s="11">
        <v>1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</row>
    <row r="14" spans="2:19" x14ac:dyDescent="0.3">
      <c r="B14" s="3" t="s">
        <v>56</v>
      </c>
      <c r="C14" s="3" t="s">
        <v>57</v>
      </c>
      <c r="D14" s="3"/>
      <c r="E14" s="11">
        <v>6</v>
      </c>
      <c r="F14" s="11">
        <v>3</v>
      </c>
      <c r="G14" s="11">
        <v>0</v>
      </c>
      <c r="H14" s="11">
        <v>0</v>
      </c>
      <c r="I14" s="14">
        <v>3</v>
      </c>
      <c r="J14" s="11">
        <v>0</v>
      </c>
      <c r="K14" s="11">
        <v>0</v>
      </c>
      <c r="L14" s="11">
        <v>3</v>
      </c>
      <c r="M14" s="11">
        <v>3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</row>
    <row r="15" spans="2:19" x14ac:dyDescent="0.3">
      <c r="B15" s="3" t="s">
        <v>58</v>
      </c>
      <c r="C15" s="3" t="s">
        <v>59</v>
      </c>
      <c r="D15" s="3"/>
      <c r="E15" s="11">
        <v>2</v>
      </c>
      <c r="F15" s="11">
        <v>2</v>
      </c>
      <c r="G15" s="11">
        <v>1</v>
      </c>
      <c r="H15" s="11">
        <v>0</v>
      </c>
      <c r="I15" s="14">
        <v>1</v>
      </c>
      <c r="J15" s="11">
        <v>0</v>
      </c>
      <c r="K15" s="11">
        <v>0</v>
      </c>
      <c r="L15" s="11">
        <v>1</v>
      </c>
      <c r="M15" s="11">
        <v>0</v>
      </c>
      <c r="N15" s="11">
        <v>1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</row>
    <row r="16" spans="2:19" x14ac:dyDescent="0.3">
      <c r="B16" s="3" t="s">
        <v>60</v>
      </c>
      <c r="C16" s="3" t="s">
        <v>61</v>
      </c>
      <c r="D16" s="3"/>
      <c r="E16" s="11">
        <v>125</v>
      </c>
      <c r="F16" s="11">
        <v>74</v>
      </c>
      <c r="G16" s="11">
        <v>3</v>
      </c>
      <c r="H16" s="11">
        <v>0</v>
      </c>
      <c r="I16" s="14">
        <v>71</v>
      </c>
      <c r="J16" s="11">
        <v>0</v>
      </c>
      <c r="K16" s="11">
        <v>0</v>
      </c>
      <c r="L16" s="11">
        <v>71</v>
      </c>
      <c r="M16" s="11">
        <v>59</v>
      </c>
      <c r="N16" s="11">
        <v>12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</row>
    <row r="17" spans="2:19" x14ac:dyDescent="0.3">
      <c r="B17" s="3" t="s">
        <v>62</v>
      </c>
      <c r="C17" s="3" t="s">
        <v>63</v>
      </c>
      <c r="D17" s="3"/>
      <c r="E17" s="11">
        <v>2</v>
      </c>
      <c r="F17" s="11">
        <v>2</v>
      </c>
      <c r="G17" s="11">
        <v>1</v>
      </c>
      <c r="H17" s="11">
        <v>0</v>
      </c>
      <c r="I17" s="14">
        <v>1</v>
      </c>
      <c r="J17" s="11">
        <v>0</v>
      </c>
      <c r="K17" s="11">
        <v>0</v>
      </c>
      <c r="L17" s="11">
        <v>1</v>
      </c>
      <c r="M17" s="11">
        <v>1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</row>
    <row r="18" spans="2:19" x14ac:dyDescent="0.3">
      <c r="B18" s="3" t="s">
        <v>64</v>
      </c>
      <c r="C18" s="3" t="s">
        <v>65</v>
      </c>
      <c r="D18" s="3"/>
      <c r="E18" s="11">
        <v>1</v>
      </c>
      <c r="F18" s="11">
        <v>1</v>
      </c>
      <c r="G18" s="11">
        <v>0</v>
      </c>
      <c r="H18" s="11">
        <v>0</v>
      </c>
      <c r="I18" s="14">
        <v>1</v>
      </c>
      <c r="J18" s="11">
        <v>0</v>
      </c>
      <c r="K18" s="11">
        <v>0</v>
      </c>
      <c r="L18" s="11">
        <v>1</v>
      </c>
      <c r="M18" s="11">
        <v>1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</row>
    <row r="19" spans="2:19" x14ac:dyDescent="0.3">
      <c r="B19" s="3" t="s">
        <v>66</v>
      </c>
      <c r="C19" s="3" t="s">
        <v>67</v>
      </c>
      <c r="D19" s="3"/>
      <c r="E19" s="11">
        <v>142</v>
      </c>
      <c r="F19" s="11">
        <v>134</v>
      </c>
      <c r="G19" s="11">
        <v>20</v>
      </c>
      <c r="H19" s="11">
        <v>0</v>
      </c>
      <c r="I19" s="14">
        <v>114</v>
      </c>
      <c r="J19" s="11">
        <v>0</v>
      </c>
      <c r="K19" s="11">
        <v>0</v>
      </c>
      <c r="L19" s="11">
        <v>114</v>
      </c>
      <c r="M19" s="11">
        <v>75</v>
      </c>
      <c r="N19" s="11">
        <v>39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</row>
    <row r="20" spans="2:19" x14ac:dyDescent="0.3">
      <c r="B20" s="3" t="s">
        <v>68</v>
      </c>
      <c r="C20" s="3" t="s">
        <v>69</v>
      </c>
      <c r="D20" s="3"/>
      <c r="E20" s="11">
        <v>16</v>
      </c>
      <c r="F20" s="11">
        <v>8</v>
      </c>
      <c r="G20" s="11">
        <v>0</v>
      </c>
      <c r="H20" s="11">
        <v>0</v>
      </c>
      <c r="I20" s="14">
        <v>8</v>
      </c>
      <c r="J20" s="11">
        <v>0</v>
      </c>
      <c r="K20" s="11">
        <v>0</v>
      </c>
      <c r="L20" s="11">
        <v>8</v>
      </c>
      <c r="M20" s="11">
        <v>5</v>
      </c>
      <c r="N20" s="11">
        <v>3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</row>
    <row r="21" spans="2:19" x14ac:dyDescent="0.3">
      <c r="B21" s="3" t="s">
        <v>70</v>
      </c>
      <c r="C21" s="3" t="s">
        <v>71</v>
      </c>
      <c r="D21" s="3"/>
      <c r="E21" s="11">
        <v>5</v>
      </c>
      <c r="F21" s="11">
        <v>0</v>
      </c>
      <c r="G21" s="11">
        <v>0</v>
      </c>
      <c r="H21" s="11">
        <v>0</v>
      </c>
      <c r="I21" s="14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</row>
    <row r="22" spans="2:19" x14ac:dyDescent="0.3">
      <c r="B22" s="3" t="s">
        <v>72</v>
      </c>
      <c r="C22" s="3" t="s">
        <v>73</v>
      </c>
      <c r="D22" s="3"/>
      <c r="E22" s="11">
        <v>7</v>
      </c>
      <c r="F22" s="11">
        <v>7</v>
      </c>
      <c r="G22" s="11">
        <v>0</v>
      </c>
      <c r="H22" s="11">
        <v>0</v>
      </c>
      <c r="I22" s="14">
        <v>7</v>
      </c>
      <c r="J22" s="11">
        <v>0</v>
      </c>
      <c r="K22" s="11">
        <v>0</v>
      </c>
      <c r="L22" s="11">
        <v>7</v>
      </c>
      <c r="M22" s="11">
        <v>7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</row>
    <row r="23" spans="2:19" x14ac:dyDescent="0.3">
      <c r="B23" s="3" t="s">
        <v>74</v>
      </c>
      <c r="C23" s="3" t="s">
        <v>75</v>
      </c>
      <c r="D23" s="3"/>
      <c r="E23" s="11">
        <v>4</v>
      </c>
      <c r="F23" s="11">
        <v>4</v>
      </c>
      <c r="G23" s="11">
        <v>0</v>
      </c>
      <c r="H23" s="11">
        <v>0</v>
      </c>
      <c r="I23" s="14">
        <v>4</v>
      </c>
      <c r="J23" s="11">
        <v>0</v>
      </c>
      <c r="K23" s="11">
        <v>0</v>
      </c>
      <c r="L23" s="11">
        <v>4</v>
      </c>
      <c r="M23" s="11">
        <v>4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</row>
    <row r="24" spans="2:19" x14ac:dyDescent="0.3">
      <c r="B24" s="3" t="s">
        <v>76</v>
      </c>
      <c r="C24" s="3" t="s">
        <v>77</v>
      </c>
      <c r="D24" s="3"/>
      <c r="E24" s="11">
        <v>25</v>
      </c>
      <c r="F24" s="11">
        <v>25</v>
      </c>
      <c r="G24" s="11">
        <v>3</v>
      </c>
      <c r="H24" s="11">
        <v>0</v>
      </c>
      <c r="I24" s="14">
        <v>22</v>
      </c>
      <c r="J24" s="11">
        <v>0</v>
      </c>
      <c r="K24" s="11">
        <v>0</v>
      </c>
      <c r="L24" s="11">
        <v>22</v>
      </c>
      <c r="M24" s="11">
        <v>22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</row>
    <row r="25" spans="2:19" x14ac:dyDescent="0.3">
      <c r="B25" s="3" t="s">
        <v>78</v>
      </c>
      <c r="C25" s="3" t="s">
        <v>79</v>
      </c>
      <c r="D25" s="3"/>
      <c r="E25" s="11">
        <v>2</v>
      </c>
      <c r="F25" s="11">
        <v>2</v>
      </c>
      <c r="G25" s="11">
        <v>0</v>
      </c>
      <c r="H25" s="11">
        <v>0</v>
      </c>
      <c r="I25" s="14">
        <v>2</v>
      </c>
      <c r="J25" s="11">
        <v>0</v>
      </c>
      <c r="K25" s="11">
        <v>0</v>
      </c>
      <c r="L25" s="11">
        <v>2</v>
      </c>
      <c r="M25" s="11">
        <v>2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</row>
    <row r="26" spans="2:19" x14ac:dyDescent="0.3">
      <c r="B26" s="3" t="s">
        <v>80</v>
      </c>
      <c r="C26" s="3" t="s">
        <v>81</v>
      </c>
      <c r="D26" s="3"/>
      <c r="E26" s="11">
        <v>61</v>
      </c>
      <c r="F26" s="11">
        <v>55</v>
      </c>
      <c r="G26" s="11">
        <v>0</v>
      </c>
      <c r="H26" s="11">
        <v>0</v>
      </c>
      <c r="I26" s="14">
        <v>55</v>
      </c>
      <c r="J26" s="11">
        <v>0</v>
      </c>
      <c r="K26" s="11">
        <v>0</v>
      </c>
      <c r="L26" s="11">
        <v>55</v>
      </c>
      <c r="M26" s="11">
        <v>55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</row>
    <row r="27" spans="2:19" x14ac:dyDescent="0.3">
      <c r="B27" s="3" t="s">
        <v>82</v>
      </c>
      <c r="C27" s="3" t="s">
        <v>83</v>
      </c>
      <c r="D27" s="3"/>
      <c r="E27" s="11">
        <v>3</v>
      </c>
      <c r="F27" s="11">
        <v>3</v>
      </c>
      <c r="G27" s="11">
        <v>0</v>
      </c>
      <c r="H27" s="11">
        <v>0</v>
      </c>
      <c r="I27" s="14">
        <v>3</v>
      </c>
      <c r="J27" s="11">
        <v>0</v>
      </c>
      <c r="K27" s="11">
        <v>0</v>
      </c>
      <c r="L27" s="11">
        <v>3</v>
      </c>
      <c r="M27" s="11">
        <v>2</v>
      </c>
      <c r="N27" s="11">
        <v>1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</row>
    <row r="28" spans="2:19" x14ac:dyDescent="0.3">
      <c r="B28" s="3" t="s">
        <v>84</v>
      </c>
      <c r="C28" s="3" t="s">
        <v>85</v>
      </c>
      <c r="D28" s="3"/>
      <c r="E28" s="11">
        <v>8</v>
      </c>
      <c r="F28" s="11">
        <v>8</v>
      </c>
      <c r="G28" s="11">
        <v>0</v>
      </c>
      <c r="H28" s="11">
        <v>0</v>
      </c>
      <c r="I28" s="14">
        <v>8</v>
      </c>
      <c r="J28" s="11">
        <v>0</v>
      </c>
      <c r="K28" s="11">
        <v>0</v>
      </c>
      <c r="L28" s="11">
        <v>8</v>
      </c>
      <c r="M28" s="11">
        <v>8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</row>
    <row r="29" spans="2:19" x14ac:dyDescent="0.3">
      <c r="B29" s="3" t="s">
        <v>86</v>
      </c>
      <c r="C29" s="3" t="s">
        <v>87</v>
      </c>
      <c r="D29" s="3"/>
      <c r="E29" s="11">
        <v>1</v>
      </c>
      <c r="F29" s="11">
        <v>1</v>
      </c>
      <c r="G29" s="11">
        <v>0</v>
      </c>
      <c r="H29" s="11">
        <v>0</v>
      </c>
      <c r="I29" s="14">
        <v>1</v>
      </c>
      <c r="J29" s="11">
        <v>0</v>
      </c>
      <c r="K29" s="11">
        <v>0</v>
      </c>
      <c r="L29" s="11">
        <v>1</v>
      </c>
      <c r="M29" s="11">
        <v>1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</row>
    <row r="30" spans="2:19" x14ac:dyDescent="0.3">
      <c r="B30" s="3" t="s">
        <v>88</v>
      </c>
      <c r="C30" s="3" t="s">
        <v>89</v>
      </c>
      <c r="D30" s="3"/>
      <c r="E30" s="11">
        <v>2</v>
      </c>
      <c r="F30" s="11">
        <v>1</v>
      </c>
      <c r="G30" s="11">
        <v>0</v>
      </c>
      <c r="H30" s="11">
        <v>0</v>
      </c>
      <c r="I30" s="14">
        <v>1</v>
      </c>
      <c r="J30" s="11">
        <v>0</v>
      </c>
      <c r="K30" s="11">
        <v>0</v>
      </c>
      <c r="L30" s="11">
        <v>1</v>
      </c>
      <c r="M30" s="11">
        <v>1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</row>
    <row r="31" spans="2:19" x14ac:dyDescent="0.3">
      <c r="B31" s="3" t="s">
        <v>90</v>
      </c>
      <c r="C31" s="3" t="s">
        <v>91</v>
      </c>
      <c r="D31" s="3"/>
      <c r="E31" s="11">
        <v>24</v>
      </c>
      <c r="F31" s="11">
        <v>20</v>
      </c>
      <c r="G31" s="11">
        <v>1</v>
      </c>
      <c r="H31" s="11">
        <v>0</v>
      </c>
      <c r="I31" s="14">
        <v>19</v>
      </c>
      <c r="J31" s="11">
        <v>0</v>
      </c>
      <c r="K31" s="11">
        <v>0</v>
      </c>
      <c r="L31" s="11">
        <v>19</v>
      </c>
      <c r="M31" s="11">
        <v>19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</row>
    <row r="32" spans="2:19" x14ac:dyDescent="0.3">
      <c r="B32" s="3" t="s">
        <v>92</v>
      </c>
      <c r="C32" s="3" t="s">
        <v>93</v>
      </c>
      <c r="D32" s="3"/>
      <c r="E32" s="11">
        <v>2</v>
      </c>
      <c r="F32" s="11">
        <v>2</v>
      </c>
      <c r="G32" s="11">
        <v>0</v>
      </c>
      <c r="H32" s="11">
        <v>0</v>
      </c>
      <c r="I32" s="14">
        <v>2</v>
      </c>
      <c r="J32" s="11">
        <v>0</v>
      </c>
      <c r="K32" s="11">
        <v>0</v>
      </c>
      <c r="L32" s="11">
        <v>2</v>
      </c>
      <c r="M32" s="11">
        <v>2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</row>
    <row r="33" spans="2:19" x14ac:dyDescent="0.3">
      <c r="B33" s="3" t="s">
        <v>94</v>
      </c>
      <c r="C33" s="3" t="s">
        <v>95</v>
      </c>
      <c r="D33" s="3"/>
      <c r="E33" s="11">
        <v>173</v>
      </c>
      <c r="F33" s="11">
        <v>195</v>
      </c>
      <c r="G33" s="11">
        <v>0</v>
      </c>
      <c r="H33" s="11">
        <v>0</v>
      </c>
      <c r="I33" s="14">
        <v>195</v>
      </c>
      <c r="J33" s="11">
        <v>0</v>
      </c>
      <c r="K33" s="11">
        <v>0</v>
      </c>
      <c r="L33" s="11">
        <v>195</v>
      </c>
      <c r="M33" s="11">
        <v>195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</row>
    <row r="34" spans="2:19" x14ac:dyDescent="0.3">
      <c r="B34" s="3" t="s">
        <v>96</v>
      </c>
      <c r="C34" s="3" t="s">
        <v>97</v>
      </c>
      <c r="D34" s="3"/>
      <c r="E34" s="11">
        <v>9</v>
      </c>
      <c r="F34" s="11">
        <v>9</v>
      </c>
      <c r="G34" s="11">
        <v>0</v>
      </c>
      <c r="H34" s="11">
        <v>0</v>
      </c>
      <c r="I34" s="14">
        <v>9</v>
      </c>
      <c r="J34" s="11">
        <v>0</v>
      </c>
      <c r="K34" s="11">
        <v>0</v>
      </c>
      <c r="L34" s="11">
        <v>9</v>
      </c>
      <c r="M34" s="11">
        <v>8</v>
      </c>
      <c r="N34" s="11">
        <v>1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</row>
    <row r="35" spans="2:19" x14ac:dyDescent="0.3">
      <c r="B35" s="3" t="s">
        <v>98</v>
      </c>
      <c r="C35" s="3" t="s">
        <v>99</v>
      </c>
      <c r="D35" s="3"/>
      <c r="E35" s="11">
        <v>6</v>
      </c>
      <c r="F35" s="11">
        <v>9</v>
      </c>
      <c r="G35" s="11">
        <v>0</v>
      </c>
      <c r="H35" s="11">
        <v>0</v>
      </c>
      <c r="I35" s="14">
        <v>9</v>
      </c>
      <c r="J35" s="11">
        <v>0</v>
      </c>
      <c r="K35" s="11">
        <v>0</v>
      </c>
      <c r="L35" s="11">
        <v>9</v>
      </c>
      <c r="M35" s="11">
        <v>7</v>
      </c>
      <c r="N35" s="11">
        <v>2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</row>
    <row r="36" spans="2:19" x14ac:dyDescent="0.3">
      <c r="B36" s="3" t="s">
        <v>100</v>
      </c>
      <c r="C36" s="3" t="s">
        <v>101</v>
      </c>
      <c r="D36" s="3"/>
      <c r="E36" s="11">
        <v>11</v>
      </c>
      <c r="F36" s="11">
        <v>13</v>
      </c>
      <c r="G36" s="11">
        <v>4</v>
      </c>
      <c r="H36" s="11">
        <v>0</v>
      </c>
      <c r="I36" s="14">
        <v>9</v>
      </c>
      <c r="J36" s="11">
        <v>0</v>
      </c>
      <c r="K36" s="11">
        <v>0</v>
      </c>
      <c r="L36" s="11">
        <v>9</v>
      </c>
      <c r="M36" s="11">
        <v>9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</row>
    <row r="37" spans="2:19" x14ac:dyDescent="0.3">
      <c r="B37" s="3" t="s">
        <v>102</v>
      </c>
      <c r="C37" s="3" t="s">
        <v>103</v>
      </c>
      <c r="D37" s="3"/>
      <c r="E37" s="11">
        <v>11</v>
      </c>
      <c r="F37" s="11">
        <v>12</v>
      </c>
      <c r="G37" s="11">
        <v>2</v>
      </c>
      <c r="H37" s="11">
        <v>0</v>
      </c>
      <c r="I37" s="14">
        <v>10</v>
      </c>
      <c r="J37" s="11">
        <v>0</v>
      </c>
      <c r="K37" s="11">
        <v>0</v>
      </c>
      <c r="L37" s="11">
        <v>10</v>
      </c>
      <c r="M37" s="11">
        <v>7</v>
      </c>
      <c r="N37" s="11">
        <v>3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</row>
    <row r="38" spans="2:19" x14ac:dyDescent="0.3">
      <c r="B38" s="3" t="s">
        <v>104</v>
      </c>
      <c r="C38" s="3" t="s">
        <v>105</v>
      </c>
      <c r="D38" s="3"/>
      <c r="E38" s="11">
        <v>13</v>
      </c>
      <c r="F38" s="11">
        <v>12</v>
      </c>
      <c r="G38" s="11">
        <v>4</v>
      </c>
      <c r="H38" s="11">
        <v>0</v>
      </c>
      <c r="I38" s="14">
        <v>8</v>
      </c>
      <c r="J38" s="11">
        <v>0</v>
      </c>
      <c r="K38" s="11">
        <v>0</v>
      </c>
      <c r="L38" s="11">
        <v>8</v>
      </c>
      <c r="M38" s="11">
        <v>6</v>
      </c>
      <c r="N38" s="11">
        <v>2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</row>
    <row r="39" spans="2:19" x14ac:dyDescent="0.3">
      <c r="B39" s="3" t="s">
        <v>106</v>
      </c>
      <c r="C39" s="3" t="s">
        <v>107</v>
      </c>
      <c r="D39" s="3"/>
      <c r="E39" s="11">
        <v>10</v>
      </c>
      <c r="F39" s="11">
        <v>7</v>
      </c>
      <c r="G39" s="11">
        <v>0</v>
      </c>
      <c r="H39" s="11">
        <v>0</v>
      </c>
      <c r="I39" s="14">
        <v>7</v>
      </c>
      <c r="J39" s="11">
        <v>0</v>
      </c>
      <c r="K39" s="11">
        <v>0</v>
      </c>
      <c r="L39" s="11">
        <v>7</v>
      </c>
      <c r="M39" s="11">
        <v>6</v>
      </c>
      <c r="N39" s="11">
        <v>1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</row>
    <row r="40" spans="2:19" x14ac:dyDescent="0.3">
      <c r="B40" s="3" t="s">
        <v>108</v>
      </c>
      <c r="C40" s="3" t="s">
        <v>109</v>
      </c>
      <c r="D40" s="3"/>
      <c r="E40" s="11">
        <v>1</v>
      </c>
      <c r="F40" s="11">
        <v>1</v>
      </c>
      <c r="G40" s="11">
        <v>0</v>
      </c>
      <c r="H40" s="11">
        <v>0</v>
      </c>
      <c r="I40" s="14">
        <v>1</v>
      </c>
      <c r="J40" s="11">
        <v>0</v>
      </c>
      <c r="K40" s="11">
        <v>0</v>
      </c>
      <c r="L40" s="11">
        <v>1</v>
      </c>
      <c r="M40" s="11">
        <v>1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</row>
    <row r="41" spans="2:19" x14ac:dyDescent="0.3">
      <c r="B41" s="3" t="s">
        <v>110</v>
      </c>
      <c r="C41" s="3" t="s">
        <v>111</v>
      </c>
      <c r="D41" s="3"/>
      <c r="E41" s="11">
        <v>46</v>
      </c>
      <c r="F41" s="11">
        <v>41</v>
      </c>
      <c r="G41" s="11">
        <v>0</v>
      </c>
      <c r="H41" s="11">
        <v>0</v>
      </c>
      <c r="I41" s="14">
        <v>41</v>
      </c>
      <c r="J41" s="11">
        <v>0</v>
      </c>
      <c r="K41" s="11">
        <v>0</v>
      </c>
      <c r="L41" s="11">
        <v>41</v>
      </c>
      <c r="M41" s="11">
        <v>37</v>
      </c>
      <c r="N41" s="11">
        <v>4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</row>
    <row r="42" spans="2:19" x14ac:dyDescent="0.3">
      <c r="B42" s="3" t="s">
        <v>112</v>
      </c>
      <c r="C42" s="3" t="s">
        <v>113</v>
      </c>
      <c r="D42" s="3"/>
      <c r="E42" s="11">
        <v>5</v>
      </c>
      <c r="F42" s="11">
        <v>4</v>
      </c>
      <c r="G42" s="11">
        <v>0</v>
      </c>
      <c r="H42" s="11">
        <v>0</v>
      </c>
      <c r="I42" s="14">
        <v>4</v>
      </c>
      <c r="J42" s="11">
        <v>0</v>
      </c>
      <c r="K42" s="11">
        <v>0</v>
      </c>
      <c r="L42" s="11">
        <v>4</v>
      </c>
      <c r="M42" s="11">
        <v>4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</row>
    <row r="43" spans="2:19" x14ac:dyDescent="0.3">
      <c r="B43" s="3"/>
      <c r="C43" s="3" t="s">
        <v>31</v>
      </c>
      <c r="D43" s="3"/>
      <c r="E43" s="11">
        <v>1199</v>
      </c>
      <c r="F43" s="11">
        <v>1087</v>
      </c>
      <c r="G43" s="11">
        <v>59</v>
      </c>
      <c r="H43" s="11">
        <v>0</v>
      </c>
      <c r="I43" s="14">
        <v>1028</v>
      </c>
      <c r="J43" s="11">
        <v>0</v>
      </c>
      <c r="K43" s="11">
        <v>0</v>
      </c>
      <c r="L43" s="11">
        <v>1028</v>
      </c>
      <c r="M43" s="11">
        <v>927</v>
      </c>
      <c r="N43" s="11">
        <v>101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</row>
  </sheetData>
  <mergeCells count="9">
    <mergeCell ref="M1:O1"/>
    <mergeCell ref="P1:S1"/>
    <mergeCell ref="G1:I1"/>
    <mergeCell ref="J1:L1"/>
    <mergeCell ref="C1:C2"/>
    <mergeCell ref="B1:B2"/>
    <mergeCell ref="D1:D2"/>
    <mergeCell ref="F1:F2"/>
    <mergeCell ref="E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S8"/>
  <sheetViews>
    <sheetView workbookViewId="0">
      <selection activeCell="D2" sqref="D2:D3"/>
    </sheetView>
  </sheetViews>
  <sheetFormatPr defaultRowHeight="13" x14ac:dyDescent="0.3"/>
  <cols>
    <col min="1" max="1" width="2.81640625" style="13" customWidth="1"/>
    <col min="2" max="2" width="16.6328125" style="13" bestFit="1" customWidth="1"/>
    <col min="3" max="3" width="18.453125" style="13" bestFit="1" customWidth="1"/>
    <col min="4" max="5" width="8.7265625" style="13" customWidth="1"/>
    <col min="6" max="19" width="12.90625" style="13" customWidth="1"/>
    <col min="20" max="20" width="8.7265625" style="13" customWidth="1"/>
    <col min="21" max="16384" width="8.7265625" style="13"/>
  </cols>
  <sheetData>
    <row r="2" spans="2:19" ht="15" customHeight="1" x14ac:dyDescent="0.35">
      <c r="B2" s="53" t="s">
        <v>114</v>
      </c>
      <c r="C2" s="53" t="s">
        <v>115</v>
      </c>
      <c r="D2" s="53" t="s">
        <v>3</v>
      </c>
      <c r="E2" s="53" t="s">
        <v>4</v>
      </c>
      <c r="F2" s="54" t="s">
        <v>5</v>
      </c>
      <c r="G2" s="49" t="s">
        <v>6</v>
      </c>
      <c r="H2" s="50"/>
      <c r="I2" s="51"/>
      <c r="J2" s="52" t="s">
        <v>7</v>
      </c>
      <c r="K2" s="50"/>
      <c r="L2" s="51"/>
      <c r="M2" s="55" t="s">
        <v>8</v>
      </c>
      <c r="N2" s="50"/>
      <c r="O2" s="51"/>
      <c r="P2" s="56" t="s">
        <v>9</v>
      </c>
      <c r="Q2" s="50"/>
      <c r="R2" s="50"/>
      <c r="S2" s="51"/>
    </row>
    <row r="3" spans="2:19" ht="39" customHeight="1" x14ac:dyDescent="0.3">
      <c r="B3" s="40"/>
      <c r="C3" s="40"/>
      <c r="D3" s="40"/>
      <c r="E3" s="40"/>
      <c r="F3" s="40"/>
      <c r="G3" s="6" t="s">
        <v>10</v>
      </c>
      <c r="H3" s="6" t="s">
        <v>11</v>
      </c>
      <c r="I3" s="6" t="s">
        <v>12</v>
      </c>
      <c r="J3" s="7" t="s">
        <v>13</v>
      </c>
      <c r="K3" s="7" t="s">
        <v>14</v>
      </c>
      <c r="L3" s="7" t="s">
        <v>15</v>
      </c>
      <c r="M3" s="8" t="s">
        <v>16</v>
      </c>
      <c r="N3" s="8" t="s">
        <v>17</v>
      </c>
      <c r="O3" s="8" t="s">
        <v>18</v>
      </c>
      <c r="P3" s="10" t="s">
        <v>19</v>
      </c>
      <c r="Q3" s="10" t="s">
        <v>20</v>
      </c>
      <c r="R3" s="10" t="s">
        <v>21</v>
      </c>
      <c r="S3" s="10" t="s">
        <v>22</v>
      </c>
    </row>
    <row r="4" spans="2:19" x14ac:dyDescent="0.3">
      <c r="B4" s="3" t="s">
        <v>116</v>
      </c>
      <c r="C4" s="3" t="s">
        <v>24</v>
      </c>
      <c r="D4" s="3"/>
      <c r="E4" s="11">
        <v>12</v>
      </c>
      <c r="F4" s="11">
        <v>13</v>
      </c>
      <c r="G4" s="11">
        <v>0</v>
      </c>
      <c r="H4" s="11">
        <v>1</v>
      </c>
      <c r="I4" s="14">
        <f>F4-G4-H4</f>
        <v>12</v>
      </c>
      <c r="J4" s="11">
        <v>2</v>
      </c>
      <c r="K4" s="11">
        <v>1</v>
      </c>
      <c r="L4" s="11">
        <v>10</v>
      </c>
      <c r="M4" s="11">
        <v>9</v>
      </c>
      <c r="N4" s="11">
        <v>1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</row>
    <row r="5" spans="2:19" x14ac:dyDescent="0.3">
      <c r="B5" s="3" t="s">
        <v>117</v>
      </c>
      <c r="C5" s="3" t="s">
        <v>26</v>
      </c>
      <c r="D5" s="3"/>
      <c r="E5" s="11">
        <v>13</v>
      </c>
      <c r="F5" s="11">
        <v>15</v>
      </c>
      <c r="G5" s="11"/>
      <c r="H5" s="11">
        <v>2</v>
      </c>
      <c r="I5" s="14"/>
      <c r="J5" s="11">
        <v>0</v>
      </c>
      <c r="K5" s="11"/>
      <c r="L5" s="11">
        <v>13</v>
      </c>
      <c r="M5" s="11">
        <v>11</v>
      </c>
      <c r="N5" s="11">
        <v>1</v>
      </c>
      <c r="O5" s="11">
        <v>1</v>
      </c>
      <c r="P5" s="11">
        <v>0</v>
      </c>
      <c r="Q5" s="11">
        <v>1</v>
      </c>
      <c r="R5" s="11">
        <v>0</v>
      </c>
      <c r="S5" s="11">
        <v>0</v>
      </c>
    </row>
    <row r="6" spans="2:19" x14ac:dyDescent="0.3">
      <c r="B6" s="3" t="s">
        <v>118</v>
      </c>
      <c r="C6" s="3" t="s">
        <v>28</v>
      </c>
      <c r="D6" s="3"/>
      <c r="E6" s="11">
        <v>76</v>
      </c>
      <c r="F6" s="11">
        <v>80</v>
      </c>
      <c r="G6" s="11"/>
      <c r="H6" s="11">
        <v>3</v>
      </c>
      <c r="I6" s="14"/>
      <c r="J6" s="11">
        <v>0</v>
      </c>
      <c r="K6" s="11"/>
      <c r="L6" s="11">
        <v>77</v>
      </c>
      <c r="M6" s="11">
        <v>77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</row>
    <row r="7" spans="2:19" x14ac:dyDescent="0.3">
      <c r="B7" s="3" t="s">
        <v>119</v>
      </c>
      <c r="C7" s="3" t="s">
        <v>30</v>
      </c>
      <c r="D7" s="3"/>
      <c r="E7" s="11">
        <v>12</v>
      </c>
      <c r="F7" s="11">
        <v>25</v>
      </c>
      <c r="G7" s="11"/>
      <c r="H7" s="11">
        <v>4</v>
      </c>
      <c r="I7" s="14"/>
      <c r="J7" s="11">
        <v>0</v>
      </c>
      <c r="K7" s="11"/>
      <c r="L7" s="11">
        <v>21</v>
      </c>
      <c r="M7" s="11">
        <v>13</v>
      </c>
      <c r="N7" s="11">
        <v>0</v>
      </c>
      <c r="O7" s="11">
        <v>8</v>
      </c>
      <c r="P7" s="11">
        <v>6</v>
      </c>
      <c r="Q7" s="11">
        <v>0</v>
      </c>
      <c r="R7" s="11">
        <v>2</v>
      </c>
      <c r="S7" s="11">
        <v>0</v>
      </c>
    </row>
    <row r="8" spans="2:19" s="12" customFormat="1" x14ac:dyDescent="0.3">
      <c r="B8" s="5"/>
      <c r="C8" s="5" t="s">
        <v>31</v>
      </c>
      <c r="D8" s="5"/>
      <c r="E8" s="15">
        <f t="shared" ref="E8:S8" si="0">SUM(E4:E7)</f>
        <v>113</v>
      </c>
      <c r="F8" s="15">
        <f t="shared" si="0"/>
        <v>133</v>
      </c>
      <c r="G8" s="15">
        <f t="shared" si="0"/>
        <v>0</v>
      </c>
      <c r="H8" s="15">
        <f t="shared" si="0"/>
        <v>10</v>
      </c>
      <c r="I8" s="15">
        <f t="shared" si="0"/>
        <v>12</v>
      </c>
      <c r="J8" s="15">
        <f t="shared" si="0"/>
        <v>2</v>
      </c>
      <c r="K8" s="15">
        <f t="shared" si="0"/>
        <v>1</v>
      </c>
      <c r="L8" s="15">
        <f t="shared" si="0"/>
        <v>121</v>
      </c>
      <c r="M8" s="15">
        <f t="shared" si="0"/>
        <v>110</v>
      </c>
      <c r="N8" s="15">
        <f t="shared" si="0"/>
        <v>2</v>
      </c>
      <c r="O8" s="15">
        <f t="shared" si="0"/>
        <v>9</v>
      </c>
      <c r="P8" s="15">
        <f t="shared" si="0"/>
        <v>6</v>
      </c>
      <c r="Q8" s="15">
        <f t="shared" si="0"/>
        <v>1</v>
      </c>
      <c r="R8" s="15">
        <f t="shared" si="0"/>
        <v>2</v>
      </c>
      <c r="S8" s="15">
        <f t="shared" si="0"/>
        <v>0</v>
      </c>
    </row>
  </sheetData>
  <mergeCells count="9">
    <mergeCell ref="M2:O2"/>
    <mergeCell ref="P2:S2"/>
    <mergeCell ref="G2:I2"/>
    <mergeCell ref="J2:L2"/>
    <mergeCell ref="C2:C3"/>
    <mergeCell ref="B2:B3"/>
    <mergeCell ref="D2:D3"/>
    <mergeCell ref="F2:F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Division</vt:lpstr>
      <vt:lpstr>ZBM</vt:lpstr>
      <vt:lpstr>ABM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Pawar, Umesh</dc:creator>
  <cp:lastModifiedBy>Pawar, Umesh</cp:lastModifiedBy>
  <dcterms:created xsi:type="dcterms:W3CDTF">2025-09-24T05:52:36Z</dcterms:created>
  <dcterms:modified xsi:type="dcterms:W3CDTF">2025-09-30T05:45:19Z</dcterms:modified>
</cp:coreProperties>
</file>