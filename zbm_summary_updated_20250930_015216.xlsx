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1" autoFilterDateGrouping="1"/>
  </bookViews>
  <sheets>
    <sheet name="Division" sheetId="1" state="visible" r:id="rId1"/>
    <sheet name="ZBM" sheetId="2" state="visible" r:id="rId2"/>
    <sheet name="ABM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sz val="8"/>
      <scheme val="minor"/>
    </font>
    <font>
      <name val="Calibri"/>
      <family val="2"/>
      <color rgb="FF000000"/>
      <sz val="10"/>
    </font>
    <font>
      <name val="Aptos Narrow"/>
      <family val="2"/>
      <color rgb="FF000000"/>
      <sz val="10"/>
    </font>
    <font>
      <name val="Aptos Narrow"/>
      <family val="2"/>
      <color theme="1"/>
      <sz val="10"/>
      <scheme val="minor"/>
    </font>
    <font>
      <name val="Calibri"/>
      <family val="2"/>
      <b val="1"/>
      <color rgb="FF000000"/>
      <sz val="10"/>
    </font>
    <font>
      <name val="Aptos Narrow"/>
      <family val="2"/>
      <b val="1"/>
      <color rgb="FF000000"/>
      <sz val="10"/>
    </font>
    <font>
      <name val="Calibri"/>
      <family val="2"/>
      <b val="1"/>
      <color rgb="FFFFFFFF"/>
      <sz val="10"/>
    </font>
    <font>
      <name val="Times New Roman"/>
      <family val="1"/>
      <b val="1"/>
      <color rgb="FF000000"/>
      <sz val="10"/>
    </font>
    <font>
      <name val="Aptos Narrow"/>
      <family val="2"/>
      <b val="1"/>
      <color theme="1"/>
      <sz val="10"/>
      <scheme val="minor"/>
    </font>
    <font>
      <name val="Calibri"/>
      <family val="2"/>
      <color theme="1"/>
      <sz val="10"/>
    </font>
    <font>
      <name val="Calibri"/>
      <family val="2"/>
      <b val="1"/>
      <color theme="1"/>
      <sz val="10"/>
    </font>
    <font>
      <name val="Calibri"/>
      <family val="2"/>
      <b val="1"/>
      <color rgb="FF56585B"/>
      <sz val="12"/>
    </font>
  </fonts>
  <fills count="9">
    <fill>
      <patternFill/>
    </fill>
    <fill>
      <patternFill patternType="gray125"/>
    </fill>
    <fill>
      <patternFill patternType="solid">
        <fgColor rgb="FFC5EDFF"/>
        <bgColor indexed="64"/>
      </patternFill>
    </fill>
    <fill>
      <patternFill patternType="solid">
        <fgColor rgb="FF009C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2" tint="-0.0999786370433668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1">
    <xf numFmtId="0" fontId="0" fillId="0" borderId="0" pivotButton="0" quotePrefix="0" xfId="0"/>
    <xf numFmtId="0" fontId="1" fillId="0" borderId="0" pivotButton="0" quotePrefix="0" xfId="0"/>
    <xf numFmtId="0" fontId="0" fillId="0" borderId="0" pivotButton="0" quotePrefix="0" xfId="0"/>
    <xf numFmtId="0" fontId="3" fillId="4" borderId="1" applyAlignment="1" pivotButton="0" quotePrefix="0" xfId="0">
      <alignment vertical="center"/>
    </xf>
    <xf numFmtId="0" fontId="4" fillId="0" borderId="1" applyAlignment="1" pivotButton="0" quotePrefix="0" xfId="0">
      <alignment horizontal="center" vertical="center"/>
    </xf>
    <xf numFmtId="0" fontId="6" fillId="4" borderId="1" applyAlignment="1" pivotButton="0" quotePrefix="0" xfId="0">
      <alignment vertical="center"/>
    </xf>
    <xf numFmtId="0" fontId="6" fillId="5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6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11" fillId="0" borderId="0" pivotButton="0" quotePrefix="0" xfId="0"/>
    <xf numFmtId="0" fontId="6" fillId="8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/>
    </xf>
    <xf numFmtId="0" fontId="12" fillId="0" borderId="0" pivotButton="0" quotePrefix="0" xfId="0"/>
    <xf numFmtId="0" fontId="11" fillId="0" borderId="0" pivotButton="0" quotePrefix="0" xfId="0"/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 vertical="center"/>
    </xf>
    <xf numFmtId="0" fontId="3" fillId="4" borderId="7" applyAlignment="1" pivotButton="0" quotePrefix="0" xfId="0">
      <alignment vertical="center"/>
    </xf>
    <xf numFmtId="0" fontId="4" fillId="0" borderId="2" applyAlignment="1" pivotButton="0" quotePrefix="0" xfId="0">
      <alignment horizontal="center" vertical="center"/>
    </xf>
    <xf numFmtId="0" fontId="6" fillId="4" borderId="8" applyAlignment="1" pivotButton="0" quotePrefix="0" xfId="0">
      <alignment vertical="center"/>
    </xf>
    <xf numFmtId="0" fontId="6" fillId="4" borderId="9" applyAlignment="1" pivotButton="0" quotePrefix="0" xfId="0">
      <alignment vertical="center"/>
    </xf>
    <xf numFmtId="0" fontId="7" fillId="0" borderId="3" applyAlignment="1" pivotButton="0" quotePrefix="0" xfId="0">
      <alignment horizontal="center" vertical="center"/>
    </xf>
    <xf numFmtId="0" fontId="4" fillId="0" borderId="11" applyAlignment="1" pivotButton="0" quotePrefix="0" xfId="0">
      <alignment horizontal="center" vertical="center"/>
    </xf>
    <xf numFmtId="0" fontId="7" fillId="0" borderId="12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 wrapText="1"/>
    </xf>
    <xf numFmtId="0" fontId="6" fillId="5" borderId="2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/>
    </xf>
    <xf numFmtId="0" fontId="5" fillId="0" borderId="2" applyAlignment="1" pivotButton="0" quotePrefix="0" xfId="0">
      <alignment horizontal="center"/>
    </xf>
    <xf numFmtId="0" fontId="7" fillId="0" borderId="8" applyAlignment="1" pivotButton="0" quotePrefix="0" xfId="0">
      <alignment horizontal="center" vertical="center"/>
    </xf>
    <xf numFmtId="0" fontId="7" fillId="0" borderId="9" applyAlignment="1" pivotButton="0" quotePrefix="0" xfId="0">
      <alignment horizontal="center" vertical="center"/>
    </xf>
    <xf numFmtId="0" fontId="6" fillId="6" borderId="7" applyAlignment="1" pivotButton="0" quotePrefix="0" xfId="0">
      <alignment horizontal="center" vertical="center" wrapText="1"/>
    </xf>
    <xf numFmtId="0" fontId="6" fillId="6" borderId="2" applyAlignment="1" pivotButton="0" quotePrefix="0" xfId="0">
      <alignment horizontal="center" vertical="center" wrapText="1"/>
    </xf>
    <xf numFmtId="0" fontId="6" fillId="7" borderId="7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9" fillId="8" borderId="7" applyAlignment="1" pivotButton="0" quotePrefix="0" xfId="0">
      <alignment horizontal="center" vertical="center" wrapText="1"/>
    </xf>
    <xf numFmtId="0" fontId="9" fillId="8" borderId="2" applyAlignment="1" pivotButton="0" quotePrefix="0" xfId="0">
      <alignment horizontal="center" vertical="center" wrapText="1"/>
    </xf>
    <xf numFmtId="0" fontId="13" fillId="7" borderId="1" applyAlignment="1" pivotButton="0" quotePrefix="0" xfId="0">
      <alignment wrapText="1"/>
    </xf>
    <xf numFmtId="0" fontId="10" fillId="6" borderId="4" applyAlignment="1" pivotButton="0" quotePrefix="0" xfId="0">
      <alignment horizontal="center"/>
    </xf>
    <xf numFmtId="0" fontId="10" fillId="6" borderId="5" applyAlignment="1" pivotButton="0" quotePrefix="0" xfId="0">
      <alignment horizontal="center"/>
    </xf>
    <xf numFmtId="0" fontId="10" fillId="6" borderId="6" applyAlignment="1" pivotButton="0" quotePrefix="0" xfId="0">
      <alignment horizontal="center"/>
    </xf>
    <xf numFmtId="0" fontId="10" fillId="7" borderId="4" applyAlignment="1" pivotButton="0" quotePrefix="0" xfId="0">
      <alignment horizontal="center"/>
    </xf>
    <xf numFmtId="0" fontId="10" fillId="7" borderId="5" applyAlignment="1" pivotButton="0" quotePrefix="0" xfId="0">
      <alignment horizontal="center"/>
    </xf>
    <xf numFmtId="0" fontId="10" fillId="7" borderId="6" applyAlignment="1" pivotButton="0" quotePrefix="0" xfId="0">
      <alignment horizontal="center"/>
    </xf>
    <xf numFmtId="0" fontId="10" fillId="8" borderId="4" applyAlignment="1" pivotButton="0" quotePrefix="0" xfId="0">
      <alignment horizontal="center"/>
    </xf>
    <xf numFmtId="0" fontId="10" fillId="8" borderId="5" applyAlignment="1" pivotButton="0" quotePrefix="0" xfId="0">
      <alignment horizontal="center"/>
    </xf>
    <xf numFmtId="0" fontId="10" fillId="8" borderId="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8" fillId="3" borderId="10" applyAlignment="1" pivotButton="0" quotePrefix="0" xfId="0">
      <alignment horizontal="center" vertical="center" wrapText="1"/>
    </xf>
    <xf numFmtId="0" fontId="8" fillId="3" borderId="11" applyAlignment="1" pivotButton="0" quotePrefix="0" xfId="0">
      <alignment horizontal="center" vertical="center" wrapText="1"/>
    </xf>
    <xf numFmtId="0" fontId="10" fillId="5" borderId="4" applyAlignment="1" pivotButton="0" quotePrefix="0" xfId="0">
      <alignment horizontal="center"/>
    </xf>
    <xf numFmtId="0" fontId="10" fillId="5" borderId="5" applyAlignment="1" pivotButton="0" quotePrefix="0" xfId="0">
      <alignment horizontal="center"/>
    </xf>
    <xf numFmtId="0" fontId="10" fillId="5" borderId="6" applyAlignment="1" pivotButton="0" quotePrefix="0" xfId="0">
      <alignment horizontal="center"/>
    </xf>
    <xf numFmtId="0" fontId="12" fillId="5" borderId="1" applyAlignment="1" pivotButton="0" quotePrefix="0" xfId="0">
      <alignment horizontal="center"/>
    </xf>
    <xf numFmtId="0" fontId="12" fillId="6" borderId="1" applyAlignment="1" pivotButton="0" quotePrefix="0" xfId="0">
      <alignment horizontal="center"/>
    </xf>
    <xf numFmtId="0" fontId="12" fillId="7" borderId="1" applyAlignment="1" pivotButton="0" quotePrefix="0" xfId="0">
      <alignment horizontal="center"/>
    </xf>
    <xf numFmtId="0" fontId="12" fillId="8" borderId="1" applyAlignment="1" pivotButton="0" quotePrefix="0" xfId="0">
      <alignment horizontal="center"/>
    </xf>
    <xf numFmtId="0" fontId="8" fillId="3" borderId="1" applyAlignment="1" pivotButton="0" quotePrefix="0" xfId="0">
      <alignment horizontal="center" vertical="center" wrapText="1"/>
    </xf>
    <xf numFmtId="0" fontId="6" fillId="2" borderId="1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  <xf numFmtId="0" fontId="0" fillId="0" borderId="22" pivotButton="0" quotePrefix="0" xfId="0"/>
    <xf numFmtId="0" fontId="0" fillId="0" borderId="24" pivotButton="0" quotePrefix="0" xfId="0"/>
    <xf numFmtId="0" fontId="0" fillId="0" borderId="26" pivotButton="0" quotePrefix="0" xfId="0"/>
    <xf numFmtId="0" fontId="0" fillId="0" borderId="29" pivotButton="0" quotePrefix="0" xfId="0"/>
    <xf numFmtId="0" fontId="0" fillId="0" borderId="3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T8"/>
  <sheetViews>
    <sheetView zoomScale="99" zoomScaleNormal="99" workbookViewId="0">
      <selection activeCell="C4" sqref="C4"/>
    </sheetView>
  </sheetViews>
  <sheetFormatPr baseColWidth="8" defaultRowHeight="13.8"/>
  <cols>
    <col width="2.796875" customWidth="1" style="2" min="1" max="1"/>
    <col width="17.5" bestFit="1" customWidth="1" style="2" min="2" max="2"/>
    <col width="18.59765625" bestFit="1" customWidth="1" style="2" min="3" max="3"/>
    <col width="11.19921875" customWidth="1" style="2" min="6" max="13"/>
    <col width="11.19921875" customWidth="1" style="2" min="14" max="14"/>
    <col width="11.19921875" customWidth="1" style="2" min="15" max="19"/>
  </cols>
  <sheetData>
    <row r="1" ht="14.4" customHeight="1" s="2" thickBot="1">
      <c r="B1" t="inlineStr">
        <is>
          <t>YTD</t>
        </is>
      </c>
    </row>
    <row r="2" ht="15" customHeight="1" s="2">
      <c r="B2" s="46" t="inlineStr">
        <is>
          <t>Zone Name</t>
        </is>
      </c>
      <c r="C2" s="48" t="inlineStr">
        <is>
          <t>ZBM Name</t>
        </is>
      </c>
      <c r="D2" s="48" t="inlineStr">
        <is>
          <t># Unique TBMs</t>
        </is>
      </c>
      <c r="E2" s="50" t="inlineStr">
        <is>
          <t># Unique HCPs</t>
        </is>
      </c>
      <c r="F2" s="52" t="inlineStr">
        <is>
          <t># Requests Raised
(A+B+C)</t>
        </is>
      </c>
      <c r="G2" s="54" t="inlineStr">
        <is>
          <t>HO</t>
        </is>
      </c>
      <c r="H2" s="63" t="n"/>
      <c r="I2" s="64" t="n"/>
      <c r="J2" s="37" t="inlineStr">
        <is>
          <t>HUB</t>
        </is>
      </c>
      <c r="K2" s="63" t="n"/>
      <c r="L2" s="64" t="n"/>
      <c r="M2" s="40" t="inlineStr">
        <is>
          <t>Delivery Status</t>
        </is>
      </c>
      <c r="N2" s="63" t="n"/>
      <c r="O2" s="64" t="n"/>
      <c r="P2" s="43" t="inlineStr">
        <is>
          <t>RTO Reasons</t>
        </is>
      </c>
      <c r="Q2" s="63" t="n"/>
      <c r="R2" s="63" t="n"/>
      <c r="S2" s="64" t="n"/>
      <c r="T2" s="1" t="n"/>
    </row>
    <row r="3" ht="55.2" customHeight="1" s="2">
      <c r="B3" s="65" t="n"/>
      <c r="C3" s="66" t="n"/>
      <c r="D3" s="66" t="n"/>
      <c r="E3" s="67" t="n"/>
      <c r="F3" s="68" t="n"/>
      <c r="G3" s="24" t="inlineStr">
        <is>
          <t>Request Cancelled / Out of Stock (A)</t>
        </is>
      </c>
      <c r="H3" s="6" t="inlineStr">
        <is>
          <t>Action pending / In Process At HO (B)</t>
        </is>
      </c>
      <c r="I3" s="25" t="inlineStr">
        <is>
          <t>Sent to HUB ('C)
(D+E+F)</t>
        </is>
      </c>
      <c r="J3" s="30" t="inlineStr">
        <is>
          <t>Pending for Invoicing (D)</t>
        </is>
      </c>
      <c r="K3" s="7" t="inlineStr">
        <is>
          <t>Pending for Dispatch (E)</t>
        </is>
      </c>
      <c r="L3" s="31" t="inlineStr">
        <is>
          <t># Requests Dispatched (F)
(G+H+I)</t>
        </is>
      </c>
      <c r="M3" s="32" t="inlineStr">
        <is>
          <t>Delivered (G)</t>
        </is>
      </c>
      <c r="N3" s="8" t="inlineStr">
        <is>
          <t>Dispatched &amp; In Transit (H)</t>
        </is>
      </c>
      <c r="O3" s="33" t="inlineStr">
        <is>
          <t>RTO (I)</t>
        </is>
      </c>
      <c r="P3" s="34" t="inlineStr">
        <is>
          <t>Incomplete Address</t>
        </is>
      </c>
      <c r="Q3" s="9" t="inlineStr">
        <is>
          <t>Doctor Non Contactable</t>
        </is>
      </c>
      <c r="R3" s="9" t="inlineStr">
        <is>
          <t>Doctor Refused to Accept</t>
        </is>
      </c>
      <c r="S3" s="35" t="inlineStr">
        <is>
          <t>Hold Delivery</t>
        </is>
      </c>
    </row>
    <row r="4">
      <c r="B4" s="17" t="inlineStr">
        <is>
          <t>ZN0001 - Ahmedabad</t>
        </is>
      </c>
      <c r="C4" s="3" t="inlineStr">
        <is>
          <t>Munish Kalra</t>
        </is>
      </c>
      <c r="D4" s="3" t="n"/>
      <c r="E4" s="18" t="n">
        <v>12</v>
      </c>
      <c r="F4" s="22" t="n">
        <v>13</v>
      </c>
      <c r="G4" s="26" t="n">
        <v>0</v>
      </c>
      <c r="H4" s="4" t="n">
        <v>1</v>
      </c>
      <c r="I4" s="27">
        <f>F4-G4-H4</f>
        <v/>
      </c>
      <c r="J4" s="26" t="n">
        <v>2</v>
      </c>
      <c r="K4" s="4" t="n">
        <v>1</v>
      </c>
      <c r="L4" s="18" t="n">
        <v>10</v>
      </c>
      <c r="M4" s="26" t="n">
        <v>9</v>
      </c>
      <c r="N4" s="4" t="n">
        <v>1</v>
      </c>
      <c r="O4" s="18" t="n">
        <v>0</v>
      </c>
      <c r="P4" s="26" t="n">
        <v>0</v>
      </c>
      <c r="Q4" s="4" t="n">
        <v>0</v>
      </c>
      <c r="R4" s="4" t="n">
        <v>0</v>
      </c>
      <c r="S4" s="18" t="n">
        <v>0</v>
      </c>
    </row>
    <row r="5">
      <c r="B5" s="17" t="inlineStr">
        <is>
          <t>ZN0002 - Mumbai</t>
        </is>
      </c>
      <c r="C5" s="3" t="inlineStr">
        <is>
          <t>Ankit Kumar Tiwari</t>
        </is>
      </c>
      <c r="D5" s="3" t="n"/>
      <c r="E5" s="18" t="n">
        <v>13</v>
      </c>
      <c r="F5" s="22" t="n">
        <v>15</v>
      </c>
      <c r="G5" s="26" t="n"/>
      <c r="H5" s="4" t="n">
        <v>2</v>
      </c>
      <c r="I5" s="27" t="n"/>
      <c r="J5" s="26" t="n">
        <v>0</v>
      </c>
      <c r="K5" s="4" t="n"/>
      <c r="L5" s="18" t="n">
        <v>13</v>
      </c>
      <c r="M5" s="26" t="n">
        <v>11</v>
      </c>
      <c r="N5" s="4" t="n">
        <v>1</v>
      </c>
      <c r="O5" s="18" t="n">
        <v>1</v>
      </c>
      <c r="P5" s="26" t="n">
        <v>0</v>
      </c>
      <c r="Q5" s="4" t="n">
        <v>1</v>
      </c>
      <c r="R5" s="4" t="n">
        <v>0</v>
      </c>
      <c r="S5" s="18" t="n">
        <v>0</v>
      </c>
    </row>
    <row r="6">
      <c r="B6" s="17" t="inlineStr">
        <is>
          <t>ZN0003 - Pune</t>
        </is>
      </c>
      <c r="C6" s="3" t="inlineStr">
        <is>
          <t>Tumma Kumar Prakash</t>
        </is>
      </c>
      <c r="D6" s="3" t="n"/>
      <c r="E6" s="18" t="n">
        <v>76</v>
      </c>
      <c r="F6" s="22" t="n">
        <v>80</v>
      </c>
      <c r="G6" s="26" t="n"/>
      <c r="H6" s="4" t="n">
        <v>3</v>
      </c>
      <c r="I6" s="27" t="n"/>
      <c r="J6" s="26" t="n">
        <v>0</v>
      </c>
      <c r="K6" s="4" t="n"/>
      <c r="L6" s="18" t="n">
        <v>77</v>
      </c>
      <c r="M6" s="26" t="n">
        <v>77</v>
      </c>
      <c r="N6" s="4" t="n">
        <v>0</v>
      </c>
      <c r="O6" s="18" t="n">
        <v>0</v>
      </c>
      <c r="P6" s="26" t="n">
        <v>0</v>
      </c>
      <c r="Q6" s="4" t="n">
        <v>0</v>
      </c>
      <c r="R6" s="4" t="n">
        <v>0</v>
      </c>
      <c r="S6" s="18" t="n">
        <v>0</v>
      </c>
    </row>
    <row r="7">
      <c r="B7" s="17" t="inlineStr">
        <is>
          <t>ZN0004 - Nagpur</t>
        </is>
      </c>
      <c r="C7" s="3" t="inlineStr">
        <is>
          <t>ATAUR RAHAMAN</t>
        </is>
      </c>
      <c r="D7" s="3" t="n"/>
      <c r="E7" s="18" t="n">
        <v>12</v>
      </c>
      <c r="F7" s="22" t="n">
        <v>25</v>
      </c>
      <c r="G7" s="26" t="n"/>
      <c r="H7" s="4" t="n">
        <v>4</v>
      </c>
      <c r="I7" s="27" t="n"/>
      <c r="J7" s="26" t="n">
        <v>0</v>
      </c>
      <c r="K7" s="4" t="n"/>
      <c r="L7" s="18" t="n">
        <v>21</v>
      </c>
      <c r="M7" s="26" t="n">
        <v>13</v>
      </c>
      <c r="N7" s="4" t="n">
        <v>0</v>
      </c>
      <c r="O7" s="18" t="n">
        <v>8</v>
      </c>
      <c r="P7" s="26" t="n">
        <v>6</v>
      </c>
      <c r="Q7" s="4" t="n">
        <v>0</v>
      </c>
      <c r="R7" s="4" t="n">
        <v>2</v>
      </c>
      <c r="S7" s="18" t="n">
        <v>0</v>
      </c>
    </row>
    <row r="8" ht="14.4" customFormat="1" customHeight="1" s="1" thickBot="1">
      <c r="B8" s="19" t="n"/>
      <c r="C8" s="20" t="inlineStr">
        <is>
          <t>Total</t>
        </is>
      </c>
      <c r="D8" s="20" t="n"/>
      <c r="E8" s="21">
        <f>SUM(E4:E7)</f>
        <v/>
      </c>
      <c r="F8" s="23">
        <f>SUM(F4:F7)</f>
        <v/>
      </c>
      <c r="G8" s="28">
        <f>SUM(G4:G7)</f>
        <v/>
      </c>
      <c r="H8" s="29">
        <f>SUM(H4:H7)</f>
        <v/>
      </c>
      <c r="I8" s="21">
        <f>SUM(I4:I7)</f>
        <v/>
      </c>
      <c r="J8" s="28">
        <f>SUM(J4:J7)</f>
        <v/>
      </c>
      <c r="K8" s="29">
        <f>SUM(K4:K7)</f>
        <v/>
      </c>
      <c r="L8" s="21">
        <f>SUM(L4:L7)</f>
        <v/>
      </c>
      <c r="M8" s="28">
        <f>SUM(M4:M7)</f>
        <v/>
      </c>
      <c r="N8" s="29">
        <f>SUM(N4:N7)</f>
        <v/>
      </c>
      <c r="O8" s="21">
        <f>SUM(O4:O7)</f>
        <v/>
      </c>
      <c r="P8" s="28">
        <f>SUM(P4:P7)</f>
        <v/>
      </c>
      <c r="Q8" s="29">
        <f>SUM(Q4:Q7)</f>
        <v/>
      </c>
      <c r="R8" s="29">
        <f>SUM(R4:R7)</f>
        <v/>
      </c>
      <c r="S8" s="21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S102"/>
  <sheetViews>
    <sheetView tabSelected="1" zoomScale="115" zoomScaleNormal="115" workbookViewId="0">
      <selection activeCell="D1" sqref="D1"/>
    </sheetView>
  </sheetViews>
  <sheetFormatPr baseColWidth="8" defaultColWidth="8.69921875" defaultRowHeight="13.8"/>
  <cols>
    <col width="2.796875" customWidth="1" style="14" min="1" max="1"/>
    <col width="17" bestFit="1" customWidth="1" style="14" min="2" max="2"/>
    <col width="18.59765625" bestFit="1" customWidth="1" style="14" min="3" max="3"/>
    <col width="8.69921875" customWidth="1" style="14" min="4" max="4"/>
    <col width="12.19921875" bestFit="1" customWidth="1" style="14" min="5" max="5"/>
    <col width="13.8984375" customWidth="1" style="14" min="6" max="6"/>
    <col width="15.3984375" customWidth="1" style="14" min="7" max="7"/>
    <col width="13.8984375" customWidth="1" style="14" min="8" max="13"/>
    <col width="13.8984375" customWidth="1" style="14" min="14" max="14"/>
    <col width="13.8984375" customWidth="1" style="14" min="15" max="19"/>
    <col width="8.69921875" customWidth="1" style="14" min="20" max="16384"/>
  </cols>
  <sheetData>
    <row r="1" ht="171.6" customHeight="1" s="2">
      <c r="B1" s="36" t="inlineStr">
        <is>
          <t xml:space="preserve">ABM Terr Code </t>
        </is>
      </c>
      <c r="C1" s="36" t="inlineStr">
        <is>
          <t>Input Sample Request: Created By</t>
        </is>
      </c>
      <c r="D1" s="36" t="inlineStr">
        <is>
          <t>Doctor: Customer Code</t>
        </is>
      </c>
      <c r="E1" s="36" t="inlineStr">
        <is>
          <t>unique count of (Doctor: Customer Code)</t>
        </is>
      </c>
      <c r="F1" s="36" t="inlineStr">
        <is>
          <t>unique count of (Assigned Request Ids)</t>
        </is>
      </c>
      <c r="G1" s="36" t="inlineStr">
        <is>
          <t>unique count of (Request Status)-Out Of  Stock + On hold+nor permited</t>
        </is>
      </c>
      <c r="H1" s="36" t="inlineStr">
        <is>
          <t>unique count of (Request Status)-Request Raised</t>
        </is>
      </c>
      <c r="I1" s="36" t="inlineStr">
        <is>
          <t>unique count of (Request Status)-Delivered, Return, Action pending / In Process, Dispatched &amp; In Transit, Dispatch Pending</t>
        </is>
      </c>
      <c r="J1" s="36" t="inlineStr">
        <is>
          <t>unique count of (Request Status)-Action Pending / in Process</t>
        </is>
      </c>
      <c r="K1" s="36" t="inlineStr">
        <is>
          <t>unique count of (Request Status)-Dispatch Pending</t>
        </is>
      </c>
      <c r="L1" s="36" t="inlineStr">
        <is>
          <t>unique count of (Request Status)-Dispatch Pending</t>
        </is>
      </c>
      <c r="M1" s="36" t="inlineStr">
        <is>
          <t>unique count of (Request Status)-Delivered</t>
        </is>
      </c>
      <c r="N1" s="36" t="inlineStr">
        <is>
          <t>unique count of (Request Status)-Dispatched &amp; In Transit</t>
        </is>
      </c>
      <c r="O1" s="36" t="inlineStr">
        <is>
          <t>unique count of (Request Status)-RTO</t>
        </is>
      </c>
    </row>
    <row r="2" ht="15" customHeight="1" s="2">
      <c r="B2" s="62" t="inlineStr">
        <is>
          <t>Area Name</t>
        </is>
      </c>
      <c r="C2" s="62" t="inlineStr">
        <is>
          <t>ABM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AHMEDABAD - IA000009</t>
        </is>
      </c>
      <c r="C4" s="3" t="inlineStr">
        <is>
          <t>Ruchit Rajendrakumar Andharia</t>
        </is>
      </c>
      <c r="D4" s="3" t="n"/>
      <c r="E4" s="12" t="n">
        <v>165</v>
      </c>
      <c r="F4" s="12" t="n">
        <v>127</v>
      </c>
      <c r="G4" s="12" t="n">
        <v>2</v>
      </c>
      <c r="H4" s="12" t="n">
        <v>0</v>
      </c>
      <c r="I4" s="15" t="n">
        <v>125</v>
      </c>
      <c r="J4" s="12" t="n">
        <v>0</v>
      </c>
      <c r="K4" s="12" t="n">
        <v>0</v>
      </c>
      <c r="L4" s="12" t="n">
        <v>125</v>
      </c>
      <c r="M4" s="12" t="n">
        <v>125</v>
      </c>
      <c r="N4" s="12" t="n">
        <v>0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AHMEDABAD - IA000504</t>
        </is>
      </c>
      <c r="C5" s="3" t="inlineStr">
        <is>
          <t>Anurag Dadhich</t>
        </is>
      </c>
      <c r="D5" s="3" t="n"/>
      <c r="E5" s="12" t="n">
        <v>1</v>
      </c>
      <c r="F5" s="12" t="n">
        <v>0</v>
      </c>
      <c r="G5" s="12" t="n">
        <v>0</v>
      </c>
      <c r="H5" s="12" t="n">
        <v>0</v>
      </c>
      <c r="I5" s="15" t="n">
        <v>0</v>
      </c>
      <c r="J5" s="12" t="n">
        <v>0</v>
      </c>
      <c r="K5" s="12" t="n">
        <v>0</v>
      </c>
      <c r="L5" s="12" t="n">
        <v>0</v>
      </c>
      <c r="M5" s="12" t="n">
        <v>0</v>
      </c>
      <c r="N5" s="12" t="n">
        <v>0</v>
      </c>
      <c r="O5" s="12" t="n">
        <v>0</v>
      </c>
      <c r="P5" s="12" t="n">
        <v>0</v>
      </c>
      <c r="Q5" s="12" t="n">
        <v>0</v>
      </c>
      <c r="R5" s="12" t="n">
        <v>0</v>
      </c>
      <c r="S5" s="12" t="n">
        <v>0</v>
      </c>
    </row>
    <row r="6">
      <c r="B6" s="3" t="inlineStr">
        <is>
          <t>AHMEDABAD - IA000678</t>
        </is>
      </c>
      <c r="C6" s="3" t="inlineStr">
        <is>
          <t>Ankit Vishnubhai Panchal</t>
        </is>
      </c>
      <c r="D6" s="3" t="n"/>
      <c r="E6" s="12" t="n">
        <v>32</v>
      </c>
      <c r="F6" s="12" t="n">
        <v>30</v>
      </c>
      <c r="G6" s="12" t="n">
        <v>5</v>
      </c>
      <c r="H6" s="12" t="n">
        <v>0</v>
      </c>
      <c r="I6" s="15" t="n">
        <v>25</v>
      </c>
      <c r="J6" s="12" t="n">
        <v>0</v>
      </c>
      <c r="K6" s="12" t="n">
        <v>0</v>
      </c>
      <c r="L6" s="12" t="n">
        <v>25</v>
      </c>
      <c r="M6" s="12" t="n">
        <v>15</v>
      </c>
      <c r="N6" s="12" t="n">
        <v>10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AHMEDABAD - IA000779</t>
        </is>
      </c>
      <c r="C7" s="3" t="inlineStr">
        <is>
          <t>Narendra H Shah</t>
        </is>
      </c>
      <c r="D7" s="3" t="n"/>
      <c r="E7" s="12" t="n">
        <v>9</v>
      </c>
      <c r="F7" s="12" t="n">
        <v>10</v>
      </c>
      <c r="G7" s="12" t="n">
        <v>0</v>
      </c>
      <c r="H7" s="12" t="n">
        <v>0</v>
      </c>
      <c r="I7" s="15" t="n">
        <v>10</v>
      </c>
      <c r="J7" s="12" t="n">
        <v>0</v>
      </c>
      <c r="K7" s="12" t="n">
        <v>0</v>
      </c>
      <c r="L7" s="12" t="n">
        <v>10</v>
      </c>
      <c r="M7" s="12" t="n">
        <v>9</v>
      </c>
      <c r="N7" s="12" t="n">
        <v>1</v>
      </c>
      <c r="O7" s="12" t="n">
        <v>0</v>
      </c>
      <c r="P7" s="12" t="n">
        <v>0</v>
      </c>
      <c r="Q7" s="12" t="n">
        <v>0</v>
      </c>
      <c r="R7" s="12" t="n">
        <v>0</v>
      </c>
      <c r="S7" s="12" t="n">
        <v>0</v>
      </c>
    </row>
    <row r="8" customFormat="1" s="13">
      <c r="B8" s="3" t="inlineStr">
        <is>
          <t>AHMEDABAD - IA000806</t>
        </is>
      </c>
      <c r="C8" s="3" t="inlineStr">
        <is>
          <t>Mehul Kumar Bharat Kumar Pandya</t>
        </is>
      </c>
      <c r="D8" s="3" t="n"/>
      <c r="E8" s="12" t="n">
        <v>70</v>
      </c>
      <c r="F8" s="12" t="n">
        <v>69</v>
      </c>
      <c r="G8" s="12" t="n">
        <v>9</v>
      </c>
      <c r="H8" s="12" t="n">
        <v>0</v>
      </c>
      <c r="I8" s="15" t="n">
        <v>60</v>
      </c>
      <c r="J8" s="12" t="n">
        <v>0</v>
      </c>
      <c r="K8" s="12" t="n">
        <v>0</v>
      </c>
      <c r="L8" s="12" t="n">
        <v>60</v>
      </c>
      <c r="M8" s="12" t="n">
        <v>50</v>
      </c>
      <c r="N8" s="12" t="n">
        <v>10</v>
      </c>
      <c r="O8" s="12" t="n">
        <v>0</v>
      </c>
      <c r="P8" s="12" t="n">
        <v>0</v>
      </c>
      <c r="Q8" s="12" t="n">
        <v>0</v>
      </c>
      <c r="R8" s="12" t="n">
        <v>0</v>
      </c>
      <c r="S8" s="12" t="n">
        <v>0</v>
      </c>
    </row>
    <row r="9">
      <c r="B9" s="3" t="inlineStr">
        <is>
          <t>AHMEDABAD - IA001386</t>
        </is>
      </c>
      <c r="C9" s="3" t="inlineStr">
        <is>
          <t>Nilesh Kumar</t>
        </is>
      </c>
      <c r="D9" s="3" t="n"/>
      <c r="E9" s="12" t="n">
        <v>130</v>
      </c>
      <c r="F9" s="12" t="n">
        <v>131</v>
      </c>
      <c r="G9" s="12" t="n">
        <v>4</v>
      </c>
      <c r="H9" s="12" t="n">
        <v>0</v>
      </c>
      <c r="I9" s="15" t="n">
        <v>127</v>
      </c>
      <c r="J9" s="12" t="n">
        <v>0</v>
      </c>
      <c r="K9" s="12" t="n">
        <v>0</v>
      </c>
      <c r="L9" s="12" t="n">
        <v>127</v>
      </c>
      <c r="M9" s="12" t="n">
        <v>121</v>
      </c>
      <c r="N9" s="12" t="n">
        <v>6</v>
      </c>
      <c r="O9" s="12" t="n">
        <v>0</v>
      </c>
      <c r="P9" s="12" t="n">
        <v>0</v>
      </c>
      <c r="Q9" s="12" t="n">
        <v>0</v>
      </c>
      <c r="R9" s="12" t="n">
        <v>0</v>
      </c>
      <c r="S9" s="12" t="n">
        <v>0</v>
      </c>
    </row>
    <row r="10">
      <c r="B10" s="3" t="inlineStr">
        <is>
          <t>AHMEDABAD - IA001525</t>
        </is>
      </c>
      <c r="C10" s="3" t="inlineStr">
        <is>
          <t>Priyank Rakeshbhai Jain</t>
        </is>
      </c>
      <c r="D10" s="3" t="n"/>
      <c r="E10" s="12" t="n">
        <v>14</v>
      </c>
      <c r="F10" s="12" t="n">
        <v>13</v>
      </c>
      <c r="G10" s="12" t="n">
        <v>0</v>
      </c>
      <c r="H10" s="12" t="n">
        <v>0</v>
      </c>
      <c r="I10" s="15" t="n">
        <v>13</v>
      </c>
      <c r="J10" s="12" t="n">
        <v>0</v>
      </c>
      <c r="K10" s="12" t="n">
        <v>0</v>
      </c>
      <c r="L10" s="12" t="n">
        <v>13</v>
      </c>
      <c r="M10" s="12" t="n">
        <v>11</v>
      </c>
      <c r="N10" s="12" t="n">
        <v>2</v>
      </c>
      <c r="O10" s="12" t="n">
        <v>0</v>
      </c>
      <c r="P10" s="12" t="n">
        <v>0</v>
      </c>
      <c r="Q10" s="12" t="n">
        <v>0</v>
      </c>
      <c r="R10" s="12" t="n">
        <v>0</v>
      </c>
      <c r="S10" s="12" t="n">
        <v>0</v>
      </c>
    </row>
    <row r="11">
      <c r="B11" s="3" t="inlineStr">
        <is>
          <t>AHMEDABAD - IA001861</t>
        </is>
      </c>
      <c r="C11" s="3" t="inlineStr">
        <is>
          <t>PRAMOD KUMAR TIWARI</t>
        </is>
      </c>
      <c r="D11" s="3" t="n"/>
      <c r="E11" s="12" t="n">
        <v>2</v>
      </c>
      <c r="F11" s="12" t="n">
        <v>1</v>
      </c>
      <c r="G11" s="12" t="n">
        <v>0</v>
      </c>
      <c r="H11" s="12" t="n">
        <v>0</v>
      </c>
      <c r="I11" s="15" t="n">
        <v>1</v>
      </c>
      <c r="J11" s="12" t="n">
        <v>0</v>
      </c>
      <c r="K11" s="12" t="n">
        <v>0</v>
      </c>
      <c r="L11" s="12" t="n">
        <v>1</v>
      </c>
      <c r="M11" s="12" t="n">
        <v>1</v>
      </c>
      <c r="N11" s="12" t="n">
        <v>0</v>
      </c>
      <c r="O11" s="12" t="n">
        <v>0</v>
      </c>
      <c r="P11" s="12" t="n">
        <v>0</v>
      </c>
      <c r="Q11" s="12" t="n">
        <v>0</v>
      </c>
      <c r="R11" s="12" t="n">
        <v>0</v>
      </c>
      <c r="S11" s="12" t="n">
        <v>0</v>
      </c>
    </row>
    <row r="12">
      <c r="B12" s="3" t="inlineStr">
        <is>
          <t>AHMEDABAD - IA001891</t>
        </is>
      </c>
      <c r="C12" s="3" t="inlineStr">
        <is>
          <t>AMIT SAXENA</t>
        </is>
      </c>
      <c r="D12" s="3" t="n"/>
      <c r="E12" s="12" t="n">
        <v>9</v>
      </c>
      <c r="F12" s="12" t="n">
        <v>8</v>
      </c>
      <c r="G12" s="12" t="n">
        <v>0</v>
      </c>
      <c r="H12" s="12" t="n">
        <v>0</v>
      </c>
      <c r="I12" s="15" t="n">
        <v>8</v>
      </c>
      <c r="J12" s="12" t="n">
        <v>0</v>
      </c>
      <c r="K12" s="12" t="n">
        <v>0</v>
      </c>
      <c r="L12" s="12" t="n">
        <v>8</v>
      </c>
      <c r="M12" s="12" t="n">
        <v>8</v>
      </c>
      <c r="N12" s="12" t="n">
        <v>0</v>
      </c>
      <c r="O12" s="12" t="n">
        <v>0</v>
      </c>
      <c r="P12" s="12" t="n">
        <v>0</v>
      </c>
      <c r="Q12" s="12" t="n">
        <v>0</v>
      </c>
      <c r="R12" s="12" t="n">
        <v>0</v>
      </c>
      <c r="S12" s="12" t="n">
        <v>0</v>
      </c>
    </row>
    <row r="13">
      <c r="B13" s="3" t="inlineStr">
        <is>
          <t>AHMEDABAD - IA002963</t>
        </is>
      </c>
      <c r="C13" s="3" t="inlineStr">
        <is>
          <t>Arati Dipakkumar Bhavsar</t>
        </is>
      </c>
      <c r="D13" s="3" t="n"/>
      <c r="E13" s="12" t="n">
        <v>41</v>
      </c>
      <c r="F13" s="12" t="n">
        <v>42</v>
      </c>
      <c r="G13" s="12" t="n">
        <v>0</v>
      </c>
      <c r="H13" s="12" t="n">
        <v>0</v>
      </c>
      <c r="I13" s="15" t="n">
        <v>42</v>
      </c>
      <c r="J13" s="12" t="n">
        <v>0</v>
      </c>
      <c r="K13" s="12" t="n">
        <v>0</v>
      </c>
      <c r="L13" s="12" t="n">
        <v>42</v>
      </c>
      <c r="M13" s="12" t="n">
        <v>39</v>
      </c>
      <c r="N13" s="12" t="n">
        <v>3</v>
      </c>
      <c r="O13" s="12" t="n">
        <v>0</v>
      </c>
      <c r="P13" s="12" t="n">
        <v>0</v>
      </c>
      <c r="Q13" s="12" t="n">
        <v>0</v>
      </c>
      <c r="R13" s="12" t="n">
        <v>0</v>
      </c>
      <c r="S13" s="12" t="n">
        <v>0</v>
      </c>
    </row>
    <row r="14">
      <c r="B14" s="3" t="inlineStr">
        <is>
          <t>AHMEDABAD - IA004131</t>
        </is>
      </c>
      <c r="C14" s="3" t="inlineStr">
        <is>
          <t>JIGNESH SHAH</t>
        </is>
      </c>
      <c r="D14" s="3" t="n"/>
      <c r="E14" s="12" t="n">
        <v>3</v>
      </c>
      <c r="F14" s="12" t="n">
        <v>1</v>
      </c>
      <c r="G14" s="12" t="n">
        <v>0</v>
      </c>
      <c r="H14" s="12" t="n">
        <v>0</v>
      </c>
      <c r="I14" s="15" t="n">
        <v>1</v>
      </c>
      <c r="J14" s="12" t="n">
        <v>0</v>
      </c>
      <c r="K14" s="12" t="n">
        <v>0</v>
      </c>
      <c r="L14" s="12" t="n">
        <v>1</v>
      </c>
      <c r="M14" s="12" t="n">
        <v>1</v>
      </c>
      <c r="N14" s="12" t="n">
        <v>0</v>
      </c>
      <c r="O14" s="12" t="n">
        <v>0</v>
      </c>
      <c r="P14" s="12" t="n">
        <v>0</v>
      </c>
      <c r="Q14" s="12" t="n">
        <v>0</v>
      </c>
      <c r="R14" s="12" t="n">
        <v>0</v>
      </c>
      <c r="S14" s="12" t="n">
        <v>0</v>
      </c>
    </row>
    <row r="15">
      <c r="B15" s="3" t="inlineStr">
        <is>
          <t>AHMEDABAD - IA005307</t>
        </is>
      </c>
      <c r="C15" s="3" t="inlineStr">
        <is>
          <t>RAVI PRAKASH PANDEY</t>
        </is>
      </c>
      <c r="D15" s="3" t="n"/>
      <c r="E15" s="12" t="n">
        <v>6</v>
      </c>
      <c r="F15" s="12" t="n">
        <v>3</v>
      </c>
      <c r="G15" s="12" t="n">
        <v>0</v>
      </c>
      <c r="H15" s="12" t="n">
        <v>0</v>
      </c>
      <c r="I15" s="15" t="n">
        <v>3</v>
      </c>
      <c r="J15" s="12" t="n">
        <v>0</v>
      </c>
      <c r="K15" s="12" t="n">
        <v>0</v>
      </c>
      <c r="L15" s="12" t="n">
        <v>3</v>
      </c>
      <c r="M15" s="12" t="n">
        <v>3</v>
      </c>
      <c r="N15" s="12" t="n">
        <v>0</v>
      </c>
      <c r="O15" s="12" t="n">
        <v>0</v>
      </c>
      <c r="P15" s="12" t="n">
        <v>0</v>
      </c>
      <c r="Q15" s="12" t="n">
        <v>0</v>
      </c>
      <c r="R15" s="12" t="n">
        <v>0</v>
      </c>
      <c r="S15" s="12" t="n">
        <v>0</v>
      </c>
    </row>
    <row r="16">
      <c r="B16" s="3" t="inlineStr">
        <is>
          <t>AHMEDABAD - ZN000015</t>
        </is>
      </c>
      <c r="C16" s="3" t="inlineStr">
        <is>
          <t>Sachin Dhopate</t>
        </is>
      </c>
      <c r="D16" s="3" t="n"/>
      <c r="E16" s="12" t="n">
        <v>2</v>
      </c>
      <c r="F16" s="12" t="n">
        <v>2</v>
      </c>
      <c r="G16" s="12" t="n">
        <v>1</v>
      </c>
      <c r="H16" s="12" t="n">
        <v>0</v>
      </c>
      <c r="I16" s="15" t="n">
        <v>1</v>
      </c>
      <c r="J16" s="12" t="n">
        <v>0</v>
      </c>
      <c r="K16" s="12" t="n">
        <v>0</v>
      </c>
      <c r="L16" s="12" t="n">
        <v>1</v>
      </c>
      <c r="M16" s="12" t="n">
        <v>0</v>
      </c>
      <c r="N16" s="12" t="n">
        <v>1</v>
      </c>
      <c r="O16" s="12" t="n">
        <v>0</v>
      </c>
      <c r="P16" s="12" t="n">
        <v>0</v>
      </c>
      <c r="Q16" s="12" t="n">
        <v>0</v>
      </c>
      <c r="R16" s="12" t="n">
        <v>0</v>
      </c>
      <c r="S16" s="12" t="n">
        <v>0</v>
      </c>
    </row>
    <row r="17">
      <c r="B17" s="3" t="inlineStr">
        <is>
          <t>MUMBAI - IA001442</t>
        </is>
      </c>
      <c r="C17" s="3" t="inlineStr">
        <is>
          <t>ATUL TAMBE</t>
        </is>
      </c>
      <c r="D17" s="3" t="n"/>
      <c r="E17" s="12" t="n">
        <v>125</v>
      </c>
      <c r="F17" s="12" t="n">
        <v>74</v>
      </c>
      <c r="G17" s="12" t="n">
        <v>3</v>
      </c>
      <c r="H17" s="12" t="n">
        <v>0</v>
      </c>
      <c r="I17" s="15" t="n">
        <v>71</v>
      </c>
      <c r="J17" s="12" t="n">
        <v>0</v>
      </c>
      <c r="K17" s="12" t="n">
        <v>0</v>
      </c>
      <c r="L17" s="12" t="n">
        <v>71</v>
      </c>
      <c r="M17" s="12" t="n">
        <v>59</v>
      </c>
      <c r="N17" s="12" t="n">
        <v>12</v>
      </c>
      <c r="O17" s="12" t="n">
        <v>0</v>
      </c>
      <c r="P17" s="12" t="n">
        <v>0</v>
      </c>
      <c r="Q17" s="12" t="n">
        <v>0</v>
      </c>
      <c r="R17" s="12" t="n">
        <v>0</v>
      </c>
      <c r="S17" s="12" t="n">
        <v>0</v>
      </c>
    </row>
    <row r="18">
      <c r="B18" s="3" t="inlineStr">
        <is>
          <t>MUMBAI - IA001519</t>
        </is>
      </c>
      <c r="C18" s="3" t="inlineStr">
        <is>
          <t>KHILAN PUROHIT</t>
        </is>
      </c>
      <c r="D18" s="3" t="n"/>
      <c r="E18" s="12" t="n">
        <v>2</v>
      </c>
      <c r="F18" s="12" t="n">
        <v>2</v>
      </c>
      <c r="G18" s="12" t="n">
        <v>1</v>
      </c>
      <c r="H18" s="12" t="n">
        <v>0</v>
      </c>
      <c r="I18" s="15" t="n">
        <v>1</v>
      </c>
      <c r="J18" s="12" t="n">
        <v>0</v>
      </c>
      <c r="K18" s="12" t="n">
        <v>0</v>
      </c>
      <c r="L18" s="12" t="n">
        <v>1</v>
      </c>
      <c r="M18" s="12" t="n">
        <v>1</v>
      </c>
      <c r="N18" s="12" t="n">
        <v>0</v>
      </c>
      <c r="O18" s="12" t="n">
        <v>0</v>
      </c>
      <c r="P18" s="12" t="n">
        <v>0</v>
      </c>
      <c r="Q18" s="12" t="n">
        <v>0</v>
      </c>
      <c r="R18" s="12" t="n">
        <v>0</v>
      </c>
      <c r="S18" s="12" t="n">
        <v>0</v>
      </c>
    </row>
    <row r="19">
      <c r="B19" s="3" t="inlineStr">
        <is>
          <t>MUMBAI - IA003543</t>
        </is>
      </c>
      <c r="C19" s="3" t="inlineStr">
        <is>
          <t>SANJAY PANSARE</t>
        </is>
      </c>
      <c r="D19" s="3" t="n"/>
      <c r="E19" s="12" t="n">
        <v>1</v>
      </c>
      <c r="F19" s="12" t="n">
        <v>1</v>
      </c>
      <c r="G19" s="12" t="n">
        <v>0</v>
      </c>
      <c r="H19" s="12" t="n">
        <v>0</v>
      </c>
      <c r="I19" s="15" t="n">
        <v>1</v>
      </c>
      <c r="J19" s="12" t="n">
        <v>0</v>
      </c>
      <c r="K19" s="12" t="n">
        <v>0</v>
      </c>
      <c r="L19" s="12" t="n">
        <v>1</v>
      </c>
      <c r="M19" s="12" t="n">
        <v>1</v>
      </c>
      <c r="N19" s="12" t="n">
        <v>0</v>
      </c>
      <c r="O19" s="12" t="n">
        <v>0</v>
      </c>
      <c r="P19" s="12" t="n">
        <v>0</v>
      </c>
      <c r="Q19" s="12" t="n">
        <v>0</v>
      </c>
      <c r="R19" s="12" t="n">
        <v>0</v>
      </c>
      <c r="S19" s="12" t="n">
        <v>0</v>
      </c>
    </row>
    <row r="20">
      <c r="B20" s="3" t="inlineStr">
        <is>
          <t>MUMBAI - IA003690</t>
        </is>
      </c>
      <c r="C20" s="3" t="inlineStr">
        <is>
          <t>SANTOSH B BHANGARE</t>
        </is>
      </c>
      <c r="D20" s="3" t="n"/>
      <c r="E20" s="12" t="n">
        <v>142</v>
      </c>
      <c r="F20" s="12" t="n">
        <v>134</v>
      </c>
      <c r="G20" s="12" t="n">
        <v>20</v>
      </c>
      <c r="H20" s="12" t="n">
        <v>0</v>
      </c>
      <c r="I20" s="15" t="n">
        <v>114</v>
      </c>
      <c r="J20" s="12" t="n">
        <v>0</v>
      </c>
      <c r="K20" s="12" t="n">
        <v>0</v>
      </c>
      <c r="L20" s="12" t="n">
        <v>114</v>
      </c>
      <c r="M20" s="12" t="n">
        <v>75</v>
      </c>
      <c r="N20" s="12" t="n">
        <v>39</v>
      </c>
      <c r="O20" s="12" t="n">
        <v>0</v>
      </c>
      <c r="P20" s="12" t="n">
        <v>0</v>
      </c>
      <c r="Q20" s="12" t="n">
        <v>0</v>
      </c>
      <c r="R20" s="12" t="n">
        <v>0</v>
      </c>
      <c r="S20" s="12" t="n">
        <v>0</v>
      </c>
    </row>
    <row r="21">
      <c r="B21" s="3" t="inlineStr">
        <is>
          <t>MUMBAI - IA004350</t>
        </is>
      </c>
      <c r="C21" s="3" t="inlineStr">
        <is>
          <t>SUSHMA V. JADHAV</t>
        </is>
      </c>
      <c r="D21" s="3" t="n"/>
      <c r="E21" s="12" t="n">
        <v>16</v>
      </c>
      <c r="F21" s="12" t="n">
        <v>8</v>
      </c>
      <c r="G21" s="12" t="n">
        <v>0</v>
      </c>
      <c r="H21" s="12" t="n">
        <v>0</v>
      </c>
      <c r="I21" s="15" t="n">
        <v>8</v>
      </c>
      <c r="J21" s="12" t="n">
        <v>0</v>
      </c>
      <c r="K21" s="12" t="n">
        <v>0</v>
      </c>
      <c r="L21" s="12" t="n">
        <v>8</v>
      </c>
      <c r="M21" s="12" t="n">
        <v>5</v>
      </c>
      <c r="N21" s="12" t="n">
        <v>3</v>
      </c>
      <c r="O21" s="12" t="n">
        <v>0</v>
      </c>
      <c r="P21" s="12" t="n">
        <v>0</v>
      </c>
      <c r="Q21" s="12" t="n">
        <v>0</v>
      </c>
      <c r="R21" s="12" t="n">
        <v>0</v>
      </c>
      <c r="S21" s="12" t="n">
        <v>0</v>
      </c>
    </row>
    <row r="22">
      <c r="B22" s="3" t="inlineStr">
        <is>
          <t>MUMBAI - IA005557</t>
        </is>
      </c>
      <c r="C22" s="3" t="inlineStr">
        <is>
          <t>VIKAS YADAV</t>
        </is>
      </c>
      <c r="D22" s="3" t="n"/>
      <c r="E22" s="12" t="n">
        <v>5</v>
      </c>
      <c r="F22" s="12" t="n">
        <v>0</v>
      </c>
      <c r="G22" s="12" t="n">
        <v>0</v>
      </c>
      <c r="H22" s="12" t="n">
        <v>0</v>
      </c>
      <c r="I22" s="15" t="n">
        <v>0</v>
      </c>
      <c r="J22" s="12" t="n">
        <v>0</v>
      </c>
      <c r="K22" s="12" t="n">
        <v>0</v>
      </c>
      <c r="L22" s="12" t="n">
        <v>0</v>
      </c>
      <c r="M22" s="12" t="n">
        <v>0</v>
      </c>
      <c r="N22" s="12" t="n">
        <v>0</v>
      </c>
      <c r="O22" s="12" t="n">
        <v>0</v>
      </c>
      <c r="P22" s="12" t="n">
        <v>0</v>
      </c>
      <c r="Q22" s="12" t="n">
        <v>0</v>
      </c>
      <c r="R22" s="12" t="n">
        <v>0</v>
      </c>
      <c r="S22" s="12" t="n">
        <v>0</v>
      </c>
    </row>
    <row r="23">
      <c r="B23" s="3" t="inlineStr">
        <is>
          <t>NAGPUR - IA000557</t>
        </is>
      </c>
      <c r="C23" s="3" t="inlineStr">
        <is>
          <t>Neeraj Inchulkar</t>
        </is>
      </c>
      <c r="D23" s="3" t="n"/>
      <c r="E23" s="12" t="n">
        <v>7</v>
      </c>
      <c r="F23" s="12" t="n">
        <v>7</v>
      </c>
      <c r="G23" s="12" t="n">
        <v>0</v>
      </c>
      <c r="H23" s="12" t="n">
        <v>0</v>
      </c>
      <c r="I23" s="15" t="n">
        <v>7</v>
      </c>
      <c r="J23" s="12" t="n">
        <v>0</v>
      </c>
      <c r="K23" s="12" t="n">
        <v>0</v>
      </c>
      <c r="L23" s="12" t="n">
        <v>7</v>
      </c>
      <c r="M23" s="12" t="n">
        <v>7</v>
      </c>
      <c r="N23" s="12" t="n">
        <v>0</v>
      </c>
      <c r="O23" s="12" t="n">
        <v>0</v>
      </c>
      <c r="P23" s="12" t="n">
        <v>0</v>
      </c>
      <c r="Q23" s="12" t="n">
        <v>0</v>
      </c>
      <c r="R23" s="12" t="n">
        <v>0</v>
      </c>
      <c r="S23" s="12" t="n">
        <v>0</v>
      </c>
    </row>
    <row r="24">
      <c r="B24" s="3" t="inlineStr">
        <is>
          <t>NAGPUR - IA000770</t>
        </is>
      </c>
      <c r="C24" s="3" t="inlineStr">
        <is>
          <t>Nandkishor Dhanraj Chopkar</t>
        </is>
      </c>
      <c r="D24" s="3" t="n"/>
      <c r="E24" s="12" t="n">
        <v>4</v>
      </c>
      <c r="F24" s="12" t="n">
        <v>4</v>
      </c>
      <c r="G24" s="12" t="n">
        <v>0</v>
      </c>
      <c r="H24" s="12" t="n">
        <v>0</v>
      </c>
      <c r="I24" s="15" t="n">
        <v>4</v>
      </c>
      <c r="J24" s="12" t="n">
        <v>0</v>
      </c>
      <c r="K24" s="12" t="n">
        <v>0</v>
      </c>
      <c r="L24" s="12" t="n">
        <v>4</v>
      </c>
      <c r="M24" s="12" t="n">
        <v>4</v>
      </c>
      <c r="N24" s="12" t="n">
        <v>0</v>
      </c>
      <c r="O24" s="12" t="n">
        <v>0</v>
      </c>
      <c r="P24" s="12" t="n">
        <v>0</v>
      </c>
      <c r="Q24" s="12" t="n">
        <v>0</v>
      </c>
      <c r="R24" s="12" t="n">
        <v>0</v>
      </c>
      <c r="S24" s="12" t="n">
        <v>0</v>
      </c>
    </row>
    <row r="25">
      <c r="B25" s="3" t="inlineStr">
        <is>
          <t>NAGPUR - IA001418</t>
        </is>
      </c>
      <c r="C25" s="3" t="inlineStr">
        <is>
          <t>GIRISH LALWANI</t>
        </is>
      </c>
      <c r="D25" s="3" t="n"/>
      <c r="E25" s="12" t="n">
        <v>25</v>
      </c>
      <c r="F25" s="12" t="n">
        <v>25</v>
      </c>
      <c r="G25" s="12" t="n">
        <v>3</v>
      </c>
      <c r="H25" s="12" t="n">
        <v>0</v>
      </c>
      <c r="I25" s="15" t="n">
        <v>22</v>
      </c>
      <c r="J25" s="12" t="n">
        <v>0</v>
      </c>
      <c r="K25" s="12" t="n">
        <v>0</v>
      </c>
      <c r="L25" s="12" t="n">
        <v>22</v>
      </c>
      <c r="M25" s="12" t="n">
        <v>22</v>
      </c>
      <c r="N25" s="12" t="n">
        <v>0</v>
      </c>
      <c r="O25" s="12" t="n">
        <v>0</v>
      </c>
      <c r="P25" s="12" t="n">
        <v>0</v>
      </c>
      <c r="Q25" s="12" t="n">
        <v>0</v>
      </c>
      <c r="R25" s="12" t="n">
        <v>0</v>
      </c>
      <c r="S25" s="12" t="n">
        <v>0</v>
      </c>
    </row>
    <row r="26">
      <c r="B26" s="3" t="inlineStr">
        <is>
          <t>NAGPUR - IA001477</t>
        </is>
      </c>
      <c r="C26" s="3" t="inlineStr">
        <is>
          <t>ASHISH MADHUKAR PUNKAR</t>
        </is>
      </c>
      <c r="D26" s="3" t="n"/>
      <c r="E26" s="12" t="n">
        <v>2</v>
      </c>
      <c r="F26" s="12" t="n">
        <v>2</v>
      </c>
      <c r="G26" s="12" t="n">
        <v>0</v>
      </c>
      <c r="H26" s="12" t="n">
        <v>0</v>
      </c>
      <c r="I26" s="15" t="n">
        <v>2</v>
      </c>
      <c r="J26" s="12" t="n">
        <v>0</v>
      </c>
      <c r="K26" s="12" t="n">
        <v>0</v>
      </c>
      <c r="L26" s="12" t="n">
        <v>2</v>
      </c>
      <c r="M26" s="12" t="n">
        <v>2</v>
      </c>
      <c r="N26" s="12" t="n">
        <v>0</v>
      </c>
      <c r="O26" s="12" t="n">
        <v>0</v>
      </c>
      <c r="P26" s="12" t="n">
        <v>0</v>
      </c>
      <c r="Q26" s="12" t="n">
        <v>0</v>
      </c>
      <c r="R26" s="12" t="n">
        <v>0</v>
      </c>
      <c r="S26" s="12" t="n">
        <v>0</v>
      </c>
    </row>
    <row r="27">
      <c r="B27" s="3" t="inlineStr">
        <is>
          <t>NAGPUR - IA001913</t>
        </is>
      </c>
      <c r="C27" s="3" t="inlineStr">
        <is>
          <t>ASHOK DUBEY</t>
        </is>
      </c>
      <c r="D27" s="3" t="n"/>
      <c r="E27" s="12" t="n">
        <v>61</v>
      </c>
      <c r="F27" s="12" t="n">
        <v>55</v>
      </c>
      <c r="G27" s="12" t="n">
        <v>0</v>
      </c>
      <c r="H27" s="12" t="n">
        <v>0</v>
      </c>
      <c r="I27" s="15" t="n">
        <v>55</v>
      </c>
      <c r="J27" s="12" t="n">
        <v>0</v>
      </c>
      <c r="K27" s="12" t="n">
        <v>0</v>
      </c>
      <c r="L27" s="12" t="n">
        <v>55</v>
      </c>
      <c r="M27" s="12" t="n">
        <v>55</v>
      </c>
      <c r="N27" s="12" t="n">
        <v>0</v>
      </c>
      <c r="O27" s="12" t="n">
        <v>0</v>
      </c>
      <c r="P27" s="12" t="n">
        <v>0</v>
      </c>
      <c r="Q27" s="12" t="n">
        <v>0</v>
      </c>
      <c r="R27" s="12" t="n">
        <v>0</v>
      </c>
      <c r="S27" s="12" t="n">
        <v>0</v>
      </c>
    </row>
    <row r="28">
      <c r="B28" s="3" t="inlineStr">
        <is>
          <t>NAGPUR - IA002544</t>
        </is>
      </c>
      <c r="C28" s="3" t="inlineStr">
        <is>
          <t>Mahatab Ajmat Khan</t>
        </is>
      </c>
      <c r="D28" s="3" t="n"/>
      <c r="E28" s="12" t="n">
        <v>3</v>
      </c>
      <c r="F28" s="12" t="n">
        <v>3</v>
      </c>
      <c r="G28" s="12" t="n">
        <v>0</v>
      </c>
      <c r="H28" s="12" t="n">
        <v>0</v>
      </c>
      <c r="I28" s="15" t="n">
        <v>3</v>
      </c>
      <c r="J28" s="12" t="n">
        <v>0</v>
      </c>
      <c r="K28" s="12" t="n">
        <v>0</v>
      </c>
      <c r="L28" s="12" t="n">
        <v>3</v>
      </c>
      <c r="M28" s="12" t="n">
        <v>2</v>
      </c>
      <c r="N28" s="12" t="n">
        <v>1</v>
      </c>
      <c r="O28" s="12" t="n">
        <v>0</v>
      </c>
      <c r="P28" s="12" t="n">
        <v>0</v>
      </c>
      <c r="Q28" s="12" t="n">
        <v>0</v>
      </c>
      <c r="R28" s="12" t="n">
        <v>0</v>
      </c>
      <c r="S28" s="12" t="n">
        <v>0</v>
      </c>
    </row>
    <row r="29">
      <c r="B29" s="3" t="inlineStr">
        <is>
          <t>NAGPUR - IA003886</t>
        </is>
      </c>
      <c r="C29" s="3" t="inlineStr">
        <is>
          <t>Kailas Chaudhari</t>
        </is>
      </c>
      <c r="D29" s="3" t="n"/>
      <c r="E29" s="12" t="n">
        <v>8</v>
      </c>
      <c r="F29" s="12" t="n">
        <v>8</v>
      </c>
      <c r="G29" s="12" t="n">
        <v>0</v>
      </c>
      <c r="H29" s="12" t="n">
        <v>0</v>
      </c>
      <c r="I29" s="15" t="n">
        <v>8</v>
      </c>
      <c r="J29" s="12" t="n">
        <v>0</v>
      </c>
      <c r="K29" s="12" t="n">
        <v>0</v>
      </c>
      <c r="L29" s="12" t="n">
        <v>8</v>
      </c>
      <c r="M29" s="12" t="n">
        <v>8</v>
      </c>
      <c r="N29" s="12" t="n">
        <v>0</v>
      </c>
      <c r="O29" s="12" t="n">
        <v>0</v>
      </c>
      <c r="P29" s="12" t="n">
        <v>0</v>
      </c>
      <c r="Q29" s="12" t="n">
        <v>0</v>
      </c>
      <c r="R29" s="12" t="n">
        <v>0</v>
      </c>
      <c r="S29" s="12" t="n">
        <v>0</v>
      </c>
    </row>
    <row r="30">
      <c r="B30" s="3" t="inlineStr">
        <is>
          <t>NAGPUR - IA005304</t>
        </is>
      </c>
      <c r="C30" s="3" t="inlineStr">
        <is>
          <t>PANKAJ UMARE</t>
        </is>
      </c>
      <c r="D30" s="3" t="n"/>
      <c r="E30" s="12" t="n">
        <v>1</v>
      </c>
      <c r="F30" s="12" t="n">
        <v>1</v>
      </c>
      <c r="G30" s="12" t="n">
        <v>0</v>
      </c>
      <c r="H30" s="12" t="n">
        <v>0</v>
      </c>
      <c r="I30" s="15" t="n">
        <v>1</v>
      </c>
      <c r="J30" s="12" t="n">
        <v>0</v>
      </c>
      <c r="K30" s="12" t="n">
        <v>0</v>
      </c>
      <c r="L30" s="12" t="n">
        <v>1</v>
      </c>
      <c r="M30" s="12" t="n">
        <v>1</v>
      </c>
      <c r="N30" s="12" t="n">
        <v>0</v>
      </c>
      <c r="O30" s="12" t="n">
        <v>0</v>
      </c>
      <c r="P30" s="12" t="n">
        <v>0</v>
      </c>
      <c r="Q30" s="12" t="n">
        <v>0</v>
      </c>
      <c r="R30" s="12" t="n">
        <v>0</v>
      </c>
      <c r="S30" s="12" t="n">
        <v>0</v>
      </c>
    </row>
    <row r="31">
      <c r="B31" s="3" t="inlineStr">
        <is>
          <t>NAGPUR - IA005525</t>
        </is>
      </c>
      <c r="C31" s="3" t="inlineStr">
        <is>
          <t>Sudhir Kshirsagar</t>
        </is>
      </c>
      <c r="D31" s="3" t="n"/>
      <c r="E31" s="12" t="n">
        <v>2</v>
      </c>
      <c r="F31" s="12" t="n">
        <v>1</v>
      </c>
      <c r="G31" s="12" t="n">
        <v>0</v>
      </c>
      <c r="H31" s="12" t="n">
        <v>0</v>
      </c>
      <c r="I31" s="15" t="n">
        <v>1</v>
      </c>
      <c r="J31" s="12" t="n">
        <v>0</v>
      </c>
      <c r="K31" s="12" t="n">
        <v>0</v>
      </c>
      <c r="L31" s="12" t="n">
        <v>1</v>
      </c>
      <c r="M31" s="12" t="n">
        <v>1</v>
      </c>
      <c r="N31" s="12" t="n">
        <v>0</v>
      </c>
      <c r="O31" s="12" t="n">
        <v>0</v>
      </c>
      <c r="P31" s="12" t="n">
        <v>0</v>
      </c>
      <c r="Q31" s="12" t="n">
        <v>0</v>
      </c>
      <c r="R31" s="12" t="n">
        <v>0</v>
      </c>
      <c r="S31" s="12" t="n">
        <v>0</v>
      </c>
    </row>
    <row r="32">
      <c r="B32" s="3" t="inlineStr">
        <is>
          <t>PUNE - IA000035</t>
        </is>
      </c>
      <c r="C32" s="3" t="inlineStr">
        <is>
          <t>Rahul D Chavan</t>
        </is>
      </c>
      <c r="D32" s="3" t="n"/>
      <c r="E32" s="12" t="n">
        <v>24</v>
      </c>
      <c r="F32" s="12" t="n">
        <v>20</v>
      </c>
      <c r="G32" s="12" t="n">
        <v>1</v>
      </c>
      <c r="H32" s="12" t="n">
        <v>0</v>
      </c>
      <c r="I32" s="15" t="n">
        <v>19</v>
      </c>
      <c r="J32" s="12" t="n">
        <v>0</v>
      </c>
      <c r="K32" s="12" t="n">
        <v>0</v>
      </c>
      <c r="L32" s="12" t="n">
        <v>19</v>
      </c>
      <c r="M32" s="12" t="n">
        <v>19</v>
      </c>
      <c r="N32" s="12" t="n">
        <v>0</v>
      </c>
      <c r="O32" s="12" t="n">
        <v>0</v>
      </c>
      <c r="P32" s="12" t="n">
        <v>0</v>
      </c>
      <c r="Q32" s="12" t="n">
        <v>0</v>
      </c>
      <c r="R32" s="12" t="n">
        <v>0</v>
      </c>
      <c r="S32" s="12" t="n">
        <v>0</v>
      </c>
    </row>
    <row r="33">
      <c r="B33" s="3" t="inlineStr">
        <is>
          <t>PUNE - IA000216</t>
        </is>
      </c>
      <c r="C33" s="3" t="inlineStr">
        <is>
          <t>Jayadeep Jayawantrao Patil</t>
        </is>
      </c>
      <c r="D33" s="3" t="n"/>
      <c r="E33" s="12" t="n">
        <v>2</v>
      </c>
      <c r="F33" s="12" t="n">
        <v>2</v>
      </c>
      <c r="G33" s="12" t="n">
        <v>0</v>
      </c>
      <c r="H33" s="12" t="n">
        <v>0</v>
      </c>
      <c r="I33" s="15" t="n">
        <v>2</v>
      </c>
      <c r="J33" s="12" t="n">
        <v>0</v>
      </c>
      <c r="K33" s="12" t="n">
        <v>0</v>
      </c>
      <c r="L33" s="12" t="n">
        <v>2</v>
      </c>
      <c r="M33" s="12" t="n">
        <v>2</v>
      </c>
      <c r="N33" s="12" t="n">
        <v>0</v>
      </c>
      <c r="O33" s="12" t="n">
        <v>0</v>
      </c>
      <c r="P33" s="12" t="n">
        <v>0</v>
      </c>
      <c r="Q33" s="12" t="n">
        <v>0</v>
      </c>
      <c r="R33" s="12" t="n">
        <v>0</v>
      </c>
      <c r="S33" s="12" t="n">
        <v>0</v>
      </c>
    </row>
    <row r="34">
      <c r="B34" s="3" t="inlineStr">
        <is>
          <t>PUNE - IA000558</t>
        </is>
      </c>
      <c r="C34" s="3" t="inlineStr">
        <is>
          <t>Goraksha B Bhalerao</t>
        </is>
      </c>
      <c r="D34" s="3" t="n"/>
      <c r="E34" s="12" t="n">
        <v>173</v>
      </c>
      <c r="F34" s="12" t="n">
        <v>195</v>
      </c>
      <c r="G34" s="12" t="n">
        <v>0</v>
      </c>
      <c r="H34" s="12" t="n">
        <v>0</v>
      </c>
      <c r="I34" s="15" t="n">
        <v>195</v>
      </c>
      <c r="J34" s="12" t="n">
        <v>0</v>
      </c>
      <c r="K34" s="12" t="n">
        <v>0</v>
      </c>
      <c r="L34" s="12" t="n">
        <v>195</v>
      </c>
      <c r="M34" s="12" t="n">
        <v>195</v>
      </c>
      <c r="N34" s="12" t="n">
        <v>0</v>
      </c>
      <c r="O34" s="12" t="n">
        <v>0</v>
      </c>
      <c r="P34" s="12" t="n">
        <v>0</v>
      </c>
      <c r="Q34" s="12" t="n">
        <v>0</v>
      </c>
      <c r="R34" s="12" t="n">
        <v>0</v>
      </c>
      <c r="S34" s="12" t="n">
        <v>0</v>
      </c>
    </row>
    <row r="35">
      <c r="B35" s="3" t="inlineStr">
        <is>
          <t>PUNE - IA000692</t>
        </is>
      </c>
      <c r="C35" s="3" t="inlineStr">
        <is>
          <t>Amol Deshpande</t>
        </is>
      </c>
      <c r="D35" s="3" t="n"/>
      <c r="E35" s="12" t="n">
        <v>9</v>
      </c>
      <c r="F35" s="12" t="n">
        <v>9</v>
      </c>
      <c r="G35" s="12" t="n">
        <v>0</v>
      </c>
      <c r="H35" s="12" t="n">
        <v>0</v>
      </c>
      <c r="I35" s="15" t="n">
        <v>9</v>
      </c>
      <c r="J35" s="12" t="n">
        <v>0</v>
      </c>
      <c r="K35" s="12" t="n">
        <v>0</v>
      </c>
      <c r="L35" s="12" t="n">
        <v>9</v>
      </c>
      <c r="M35" s="12" t="n">
        <v>8</v>
      </c>
      <c r="N35" s="12" t="n">
        <v>1</v>
      </c>
      <c r="O35" s="12" t="n">
        <v>0</v>
      </c>
      <c r="P35" s="12" t="n">
        <v>0</v>
      </c>
      <c r="Q35" s="12" t="n">
        <v>0</v>
      </c>
      <c r="R35" s="12" t="n">
        <v>0</v>
      </c>
      <c r="S35" s="12" t="n">
        <v>0</v>
      </c>
    </row>
    <row r="36">
      <c r="B36" s="3" t="inlineStr">
        <is>
          <t>PUNE - IA000771</t>
        </is>
      </c>
      <c r="C36" s="3" t="inlineStr">
        <is>
          <t>Mansi Srivastava</t>
        </is>
      </c>
      <c r="D36" s="3" t="n"/>
      <c r="E36" s="12" t="n">
        <v>6</v>
      </c>
      <c r="F36" s="12" t="n">
        <v>9</v>
      </c>
      <c r="G36" s="12" t="n">
        <v>0</v>
      </c>
      <c r="H36" s="12" t="n">
        <v>0</v>
      </c>
      <c r="I36" s="15" t="n">
        <v>9</v>
      </c>
      <c r="J36" s="12" t="n">
        <v>0</v>
      </c>
      <c r="K36" s="12" t="n">
        <v>0</v>
      </c>
      <c r="L36" s="12" t="n">
        <v>9</v>
      </c>
      <c r="M36" s="12" t="n">
        <v>7</v>
      </c>
      <c r="N36" s="12" t="n">
        <v>2</v>
      </c>
      <c r="O36" s="12" t="n">
        <v>0</v>
      </c>
      <c r="P36" s="12" t="n">
        <v>0</v>
      </c>
      <c r="Q36" s="12" t="n">
        <v>0</v>
      </c>
      <c r="R36" s="12" t="n">
        <v>0</v>
      </c>
      <c r="S36" s="12" t="n">
        <v>0</v>
      </c>
    </row>
    <row r="37">
      <c r="B37" s="3" t="inlineStr">
        <is>
          <t>PUNE - IA000820</t>
        </is>
      </c>
      <c r="C37" s="3" t="inlineStr">
        <is>
          <t>Bajirao Baburao Hogale</t>
        </is>
      </c>
      <c r="D37" s="3" t="n"/>
      <c r="E37" s="12" t="n">
        <v>11</v>
      </c>
      <c r="F37" s="12" t="n">
        <v>13</v>
      </c>
      <c r="G37" s="12" t="n">
        <v>4</v>
      </c>
      <c r="H37" s="12" t="n">
        <v>0</v>
      </c>
      <c r="I37" s="15" t="n">
        <v>9</v>
      </c>
      <c r="J37" s="12" t="n">
        <v>0</v>
      </c>
      <c r="K37" s="12" t="n">
        <v>0</v>
      </c>
      <c r="L37" s="12" t="n">
        <v>9</v>
      </c>
      <c r="M37" s="12" t="n">
        <v>9</v>
      </c>
      <c r="N37" s="12" t="n">
        <v>0</v>
      </c>
      <c r="O37" s="12" t="n">
        <v>0</v>
      </c>
      <c r="P37" s="12" t="n">
        <v>0</v>
      </c>
      <c r="Q37" s="12" t="n">
        <v>0</v>
      </c>
      <c r="R37" s="12" t="n">
        <v>0</v>
      </c>
      <c r="S37" s="12" t="n">
        <v>0</v>
      </c>
    </row>
    <row r="38">
      <c r="B38" s="3" t="inlineStr">
        <is>
          <t>PUNE - IA001423</t>
        </is>
      </c>
      <c r="C38" s="3" t="inlineStr">
        <is>
          <t>Suhas Bhausaheb Pathare</t>
        </is>
      </c>
      <c r="D38" s="3" t="n"/>
      <c r="E38" s="12" t="n">
        <v>11</v>
      </c>
      <c r="F38" s="12" t="n">
        <v>12</v>
      </c>
      <c r="G38" s="12" t="n">
        <v>2</v>
      </c>
      <c r="H38" s="12" t="n">
        <v>0</v>
      </c>
      <c r="I38" s="15" t="n">
        <v>10</v>
      </c>
      <c r="J38" s="12" t="n">
        <v>0</v>
      </c>
      <c r="K38" s="12" t="n">
        <v>0</v>
      </c>
      <c r="L38" s="12" t="n">
        <v>10</v>
      </c>
      <c r="M38" s="12" t="n">
        <v>7</v>
      </c>
      <c r="N38" s="12" t="n">
        <v>3</v>
      </c>
      <c r="O38" s="12" t="n">
        <v>0</v>
      </c>
      <c r="P38" s="12" t="n">
        <v>0</v>
      </c>
      <c r="Q38" s="12" t="n">
        <v>0</v>
      </c>
      <c r="R38" s="12" t="n">
        <v>0</v>
      </c>
      <c r="S38" s="12" t="n">
        <v>0</v>
      </c>
    </row>
    <row r="39">
      <c r="B39" s="3" t="inlineStr">
        <is>
          <t>PUNE - IA001530</t>
        </is>
      </c>
      <c r="C39" s="3" t="inlineStr">
        <is>
          <t>JITENDRA GUPTA</t>
        </is>
      </c>
      <c r="D39" s="3" t="n"/>
      <c r="E39" s="12" t="n">
        <v>13</v>
      </c>
      <c r="F39" s="12" t="n">
        <v>12</v>
      </c>
      <c r="G39" s="12" t="n">
        <v>4</v>
      </c>
      <c r="H39" s="12" t="n">
        <v>0</v>
      </c>
      <c r="I39" s="15" t="n">
        <v>8</v>
      </c>
      <c r="J39" s="12" t="n">
        <v>0</v>
      </c>
      <c r="K39" s="12" t="n">
        <v>0</v>
      </c>
      <c r="L39" s="12" t="n">
        <v>8</v>
      </c>
      <c r="M39" s="12" t="n">
        <v>6</v>
      </c>
      <c r="N39" s="12" t="n">
        <v>2</v>
      </c>
      <c r="O39" s="12" t="n">
        <v>0</v>
      </c>
      <c r="P39" s="12" t="n">
        <v>0</v>
      </c>
      <c r="Q39" s="12" t="n">
        <v>0</v>
      </c>
      <c r="R39" s="12" t="n">
        <v>0</v>
      </c>
      <c r="S39" s="12" t="n">
        <v>0</v>
      </c>
    </row>
    <row r="40">
      <c r="B40" s="3" t="inlineStr">
        <is>
          <t>PUNE - IA001864</t>
        </is>
      </c>
      <c r="C40" s="3" t="inlineStr">
        <is>
          <t>Shivaji Sugriv Munde</t>
        </is>
      </c>
      <c r="D40" s="3" t="n"/>
      <c r="E40" s="12" t="n">
        <v>10</v>
      </c>
      <c r="F40" s="12" t="n">
        <v>7</v>
      </c>
      <c r="G40" s="12" t="n">
        <v>0</v>
      </c>
      <c r="H40" s="12" t="n">
        <v>0</v>
      </c>
      <c r="I40" s="15" t="n">
        <v>7</v>
      </c>
      <c r="J40" s="12" t="n">
        <v>0</v>
      </c>
      <c r="K40" s="12" t="n">
        <v>0</v>
      </c>
      <c r="L40" s="12" t="n">
        <v>7</v>
      </c>
      <c r="M40" s="12" t="n">
        <v>6</v>
      </c>
      <c r="N40" s="12" t="n">
        <v>1</v>
      </c>
      <c r="O40" s="12" t="n">
        <v>0</v>
      </c>
      <c r="P40" s="12" t="n">
        <v>0</v>
      </c>
      <c r="Q40" s="12" t="n">
        <v>0</v>
      </c>
      <c r="R40" s="12" t="n">
        <v>0</v>
      </c>
      <c r="S40" s="12" t="n">
        <v>0</v>
      </c>
    </row>
    <row r="41">
      <c r="B41" s="3" t="inlineStr">
        <is>
          <t>PUNE - IA002411</t>
        </is>
      </c>
      <c r="C41" s="3" t="inlineStr">
        <is>
          <t>VINAYAK ASHOK PATIL</t>
        </is>
      </c>
      <c r="D41" s="3" t="n"/>
      <c r="E41" s="12" t="n">
        <v>1</v>
      </c>
      <c r="F41" s="12" t="n">
        <v>1</v>
      </c>
      <c r="G41" s="12" t="n">
        <v>0</v>
      </c>
      <c r="H41" s="12" t="n">
        <v>0</v>
      </c>
      <c r="I41" s="15" t="n">
        <v>1</v>
      </c>
      <c r="J41" s="12" t="n">
        <v>0</v>
      </c>
      <c r="K41" s="12" t="n">
        <v>0</v>
      </c>
      <c r="L41" s="12" t="n">
        <v>1</v>
      </c>
      <c r="M41" s="12" t="n">
        <v>1</v>
      </c>
      <c r="N41" s="12" t="n">
        <v>0</v>
      </c>
      <c r="O41" s="12" t="n">
        <v>0</v>
      </c>
      <c r="P41" s="12" t="n">
        <v>0</v>
      </c>
      <c r="Q41" s="12" t="n">
        <v>0</v>
      </c>
      <c r="R41" s="12" t="n">
        <v>0</v>
      </c>
      <c r="S41" s="12" t="n">
        <v>0</v>
      </c>
    </row>
    <row r="42">
      <c r="B42" s="3" t="inlineStr">
        <is>
          <t>PUNE - IA004352</t>
        </is>
      </c>
      <c r="C42" s="3" t="inlineStr">
        <is>
          <t>PUNIT KUMAR SINGH</t>
        </is>
      </c>
      <c r="D42" s="3" t="n"/>
      <c r="E42" s="12" t="n">
        <v>46</v>
      </c>
      <c r="F42" s="12" t="n">
        <v>41</v>
      </c>
      <c r="G42" s="12" t="n">
        <v>0</v>
      </c>
      <c r="H42" s="12" t="n">
        <v>0</v>
      </c>
      <c r="I42" s="15" t="n">
        <v>41</v>
      </c>
      <c r="J42" s="12" t="n">
        <v>0</v>
      </c>
      <c r="K42" s="12" t="n">
        <v>0</v>
      </c>
      <c r="L42" s="12" t="n">
        <v>41</v>
      </c>
      <c r="M42" s="12" t="n">
        <v>37</v>
      </c>
      <c r="N42" s="12" t="n">
        <v>4</v>
      </c>
      <c r="O42" s="12" t="n">
        <v>0</v>
      </c>
      <c r="P42" s="12" t="n">
        <v>0</v>
      </c>
      <c r="Q42" s="12" t="n">
        <v>0</v>
      </c>
      <c r="R42" s="12" t="n">
        <v>0</v>
      </c>
      <c r="S42" s="12" t="n">
        <v>0</v>
      </c>
    </row>
    <row r="43">
      <c r="B43" s="3" t="inlineStr">
        <is>
          <t>PUNE - IA005302</t>
        </is>
      </c>
      <c r="C43" s="3" t="inlineStr">
        <is>
          <t>Hemant Mohan Taware</t>
        </is>
      </c>
      <c r="D43" s="3" t="n"/>
      <c r="E43" s="12" t="n">
        <v>5</v>
      </c>
      <c r="F43" s="12" t="n">
        <v>4</v>
      </c>
      <c r="G43" s="12" t="n">
        <v>0</v>
      </c>
      <c r="H43" s="12" t="n">
        <v>0</v>
      </c>
      <c r="I43" s="15" t="n">
        <v>4</v>
      </c>
      <c r="J43" s="12" t="n">
        <v>0</v>
      </c>
      <c r="K43" s="12" t="n">
        <v>0</v>
      </c>
      <c r="L43" s="12" t="n">
        <v>4</v>
      </c>
      <c r="M43" s="12" t="n">
        <v>4</v>
      </c>
      <c r="N43" s="12" t="n">
        <v>0</v>
      </c>
      <c r="O43" s="12" t="n">
        <v>0</v>
      </c>
      <c r="P43" s="12" t="n">
        <v>0</v>
      </c>
      <c r="Q43" s="12" t="n">
        <v>0</v>
      </c>
      <c r="R43" s="12" t="n">
        <v>0</v>
      </c>
      <c r="S43" s="12" t="n">
        <v>0</v>
      </c>
    </row>
    <row r="44">
      <c r="B44" s="3" t="n"/>
      <c r="C44" s="3" t="inlineStr">
        <is>
          <t>Total</t>
        </is>
      </c>
      <c r="D44" s="3" t="n"/>
      <c r="E44" s="12" t="n">
        <v>1199</v>
      </c>
      <c r="F44" s="12" t="n">
        <v>1087</v>
      </c>
      <c r="G44" s="12" t="n">
        <v>59</v>
      </c>
      <c r="H44" s="12" t="n">
        <v>0</v>
      </c>
      <c r="I44" s="15" t="n">
        <v>1028</v>
      </c>
      <c r="J44" s="12" t="n">
        <v>0</v>
      </c>
      <c r="K44" s="12" t="n">
        <v>0</v>
      </c>
      <c r="L44" s="12" t="n">
        <v>1028</v>
      </c>
      <c r="M44" s="12" t="n">
        <v>927</v>
      </c>
      <c r="N44" s="12" t="n">
        <v>101</v>
      </c>
      <c r="O44" s="12" t="n">
        <v>0</v>
      </c>
      <c r="P44" s="12" t="n">
        <v>0</v>
      </c>
      <c r="Q44" s="12" t="n">
        <v>0</v>
      </c>
      <c r="R44" s="12" t="n">
        <v>0</v>
      </c>
      <c r="S44" s="12" t="n">
        <v>0</v>
      </c>
    </row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S8"/>
  <sheetViews>
    <sheetView workbookViewId="0">
      <selection activeCell="D2" sqref="D2:D3"/>
    </sheetView>
  </sheetViews>
  <sheetFormatPr baseColWidth="8" defaultColWidth="8.69921875" defaultRowHeight="13.8"/>
  <cols>
    <col width="2.796875" customWidth="1" style="14" min="1" max="1"/>
    <col width="16.59765625" bestFit="1" customWidth="1" style="14" min="2" max="2"/>
    <col width="18.5" bestFit="1" customWidth="1" style="14" min="3" max="3"/>
    <col width="8.69921875" customWidth="1" style="14" min="4" max="5"/>
    <col width="12.8984375" customWidth="1" style="14" min="6" max="13"/>
    <col width="12.8984375" customWidth="1" style="14" min="14" max="14"/>
    <col width="12.8984375" customWidth="1" style="14" min="15" max="19"/>
    <col width="8.69921875" customWidth="1" style="14" min="20" max="16384"/>
  </cols>
  <sheetData>
    <row r="1">
      <c r="N1" s="14" t="n"/>
    </row>
    <row r="2" ht="15" customHeight="1" s="2">
      <c r="B2" s="62" t="inlineStr">
        <is>
          <t>HQ</t>
        </is>
      </c>
      <c r="C2" s="62" t="inlineStr">
        <is>
          <t>TBM Name</t>
        </is>
      </c>
      <c r="D2" s="62" t="inlineStr">
        <is>
          <t># Unique TBMs</t>
        </is>
      </c>
      <c r="E2" s="62" t="inlineStr">
        <is>
          <t># Unique HCPs</t>
        </is>
      </c>
      <c r="F2" s="61" t="inlineStr">
        <is>
          <t># Requests Raised
(A+B+C)</t>
        </is>
      </c>
      <c r="G2" s="57" t="inlineStr">
        <is>
          <t>HO</t>
        </is>
      </c>
      <c r="H2" s="69" t="n"/>
      <c r="I2" s="70" t="n"/>
      <c r="J2" s="58" t="inlineStr">
        <is>
          <t>HUB</t>
        </is>
      </c>
      <c r="K2" s="69" t="n"/>
      <c r="L2" s="70" t="n"/>
      <c r="M2" s="59" t="inlineStr">
        <is>
          <t>Delivery Status</t>
        </is>
      </c>
      <c r="N2" s="69" t="n"/>
      <c r="O2" s="70" t="n"/>
      <c r="P2" s="60" t="inlineStr">
        <is>
          <t>RTO Reasons</t>
        </is>
      </c>
      <c r="Q2" s="69" t="n"/>
      <c r="R2" s="69" t="n"/>
      <c r="S2" s="70" t="n"/>
    </row>
    <row r="3" ht="41.4" customHeight="1" s="2">
      <c r="B3" s="66" t="n"/>
      <c r="C3" s="66" t="n"/>
      <c r="D3" s="66" t="n"/>
      <c r="E3" s="66" t="n"/>
      <c r="F3" s="66" t="n"/>
      <c r="G3" s="6" t="inlineStr">
        <is>
          <t>Request Cancelled / Out of Stock (A)</t>
        </is>
      </c>
      <c r="H3" s="6" t="inlineStr">
        <is>
          <t>Action pending / In Process At HO (B)</t>
        </is>
      </c>
      <c r="I3" s="6" t="inlineStr">
        <is>
          <t>Sent to HUB ('C)
(D+E+F)</t>
        </is>
      </c>
      <c r="J3" s="7" t="inlineStr">
        <is>
          <t>Pending for Invoicing (D)</t>
        </is>
      </c>
      <c r="K3" s="7" t="inlineStr">
        <is>
          <t>Pending for Dispatch (E)</t>
        </is>
      </c>
      <c r="L3" s="7" t="inlineStr">
        <is>
          <t># Requests Dispatched (F)
(G+H+I)</t>
        </is>
      </c>
      <c r="M3" s="8" t="inlineStr">
        <is>
          <t>Delivered (G)</t>
        </is>
      </c>
      <c r="N3" s="8" t="inlineStr">
        <is>
          <t>Dispatched &amp; In Transit (H)</t>
        </is>
      </c>
      <c r="O3" s="8" t="inlineStr">
        <is>
          <t>RTO (I)</t>
        </is>
      </c>
      <c r="P3" s="11" t="inlineStr">
        <is>
          <t>Incomplete Address</t>
        </is>
      </c>
      <c r="Q3" s="11" t="inlineStr">
        <is>
          <t>Doctor Non Contactable</t>
        </is>
      </c>
      <c r="R3" s="11" t="inlineStr">
        <is>
          <t>Doctor Refused to Accept</t>
        </is>
      </c>
      <c r="S3" s="11" t="inlineStr">
        <is>
          <t>Hold Delivery</t>
        </is>
      </c>
    </row>
    <row r="4">
      <c r="B4" s="3" t="inlineStr">
        <is>
          <t>IT0001 - Ahmedabad</t>
        </is>
      </c>
      <c r="C4" s="3" t="inlineStr">
        <is>
          <t>Munish Kalra</t>
        </is>
      </c>
      <c r="D4" s="3" t="n"/>
      <c r="E4" s="12" t="n">
        <v>12</v>
      </c>
      <c r="F4" s="12" t="n">
        <v>13</v>
      </c>
      <c r="G4" s="12" t="n">
        <v>0</v>
      </c>
      <c r="H4" s="12" t="n">
        <v>1</v>
      </c>
      <c r="I4" s="15">
        <f>F4-G4-H4</f>
        <v/>
      </c>
      <c r="J4" s="12" t="n">
        <v>2</v>
      </c>
      <c r="K4" s="12" t="n">
        <v>1</v>
      </c>
      <c r="L4" s="12" t="n">
        <v>10</v>
      </c>
      <c r="M4" s="12" t="n">
        <v>9</v>
      </c>
      <c r="N4" s="12" t="n">
        <v>1</v>
      </c>
      <c r="O4" s="12" t="n">
        <v>0</v>
      </c>
      <c r="P4" s="12" t="n">
        <v>0</v>
      </c>
      <c r="Q4" s="12" t="n">
        <v>0</v>
      </c>
      <c r="R4" s="12" t="n">
        <v>0</v>
      </c>
      <c r="S4" s="12" t="n">
        <v>0</v>
      </c>
    </row>
    <row r="5">
      <c r="B5" s="3" t="inlineStr">
        <is>
          <t>IT0002 - Mumbai</t>
        </is>
      </c>
      <c r="C5" s="3" t="inlineStr">
        <is>
          <t>Ankit Kumar Tiwari</t>
        </is>
      </c>
      <c r="D5" s="3" t="n"/>
      <c r="E5" s="12" t="n">
        <v>13</v>
      </c>
      <c r="F5" s="12" t="n">
        <v>15</v>
      </c>
      <c r="G5" s="12" t="n"/>
      <c r="H5" s="12" t="n">
        <v>2</v>
      </c>
      <c r="I5" s="15" t="n"/>
      <c r="J5" s="12" t="n">
        <v>0</v>
      </c>
      <c r="K5" s="12" t="n"/>
      <c r="L5" s="12" t="n">
        <v>13</v>
      </c>
      <c r="M5" s="12" t="n">
        <v>11</v>
      </c>
      <c r="N5" s="12" t="n">
        <v>1</v>
      </c>
      <c r="O5" s="12" t="n">
        <v>1</v>
      </c>
      <c r="P5" s="12" t="n">
        <v>0</v>
      </c>
      <c r="Q5" s="12" t="n">
        <v>1</v>
      </c>
      <c r="R5" s="12" t="n">
        <v>0</v>
      </c>
      <c r="S5" s="12" t="n">
        <v>0</v>
      </c>
    </row>
    <row r="6">
      <c r="B6" s="3" t="inlineStr">
        <is>
          <t>IT0003 - Pune</t>
        </is>
      </c>
      <c r="C6" s="3" t="inlineStr">
        <is>
          <t>Tumma Kumar Prakash</t>
        </is>
      </c>
      <c r="D6" s="3" t="n"/>
      <c r="E6" s="12" t="n">
        <v>76</v>
      </c>
      <c r="F6" s="12" t="n">
        <v>80</v>
      </c>
      <c r="G6" s="12" t="n"/>
      <c r="H6" s="12" t="n">
        <v>3</v>
      </c>
      <c r="I6" s="15" t="n"/>
      <c r="J6" s="12" t="n">
        <v>0</v>
      </c>
      <c r="K6" s="12" t="n"/>
      <c r="L6" s="12" t="n">
        <v>77</v>
      </c>
      <c r="M6" s="12" t="n">
        <v>77</v>
      </c>
      <c r="N6" s="12" t="n">
        <v>0</v>
      </c>
      <c r="O6" s="12" t="n">
        <v>0</v>
      </c>
      <c r="P6" s="12" t="n">
        <v>0</v>
      </c>
      <c r="Q6" s="12" t="n">
        <v>0</v>
      </c>
      <c r="R6" s="12" t="n">
        <v>0</v>
      </c>
      <c r="S6" s="12" t="n">
        <v>0</v>
      </c>
    </row>
    <row r="7">
      <c r="B7" s="3" t="inlineStr">
        <is>
          <t>IT0004 - Nagpur</t>
        </is>
      </c>
      <c r="C7" s="3" t="inlineStr">
        <is>
          <t>ATAUR RAHAMAN</t>
        </is>
      </c>
      <c r="D7" s="3" t="n"/>
      <c r="E7" s="12" t="n">
        <v>12</v>
      </c>
      <c r="F7" s="12" t="n">
        <v>25</v>
      </c>
      <c r="G7" s="12" t="n"/>
      <c r="H7" s="12" t="n">
        <v>4</v>
      </c>
      <c r="I7" s="15" t="n"/>
      <c r="J7" s="12" t="n">
        <v>0</v>
      </c>
      <c r="K7" s="12" t="n"/>
      <c r="L7" s="12" t="n">
        <v>21</v>
      </c>
      <c r="M7" s="12" t="n">
        <v>13</v>
      </c>
      <c r="N7" s="12" t="n">
        <v>0</v>
      </c>
      <c r="O7" s="12" t="n">
        <v>8</v>
      </c>
      <c r="P7" s="12" t="n">
        <v>6</v>
      </c>
      <c r="Q7" s="12" t="n">
        <v>0</v>
      </c>
      <c r="R7" s="12" t="n">
        <v>2</v>
      </c>
      <c r="S7" s="12" t="n">
        <v>0</v>
      </c>
    </row>
    <row r="8" customFormat="1" s="13">
      <c r="B8" s="5" t="n"/>
      <c r="C8" s="5" t="inlineStr">
        <is>
          <t>Total</t>
        </is>
      </c>
      <c r="D8" s="5" t="n"/>
      <c r="E8" s="16">
        <f>SUM(E4:E7)</f>
        <v/>
      </c>
      <c r="F8" s="16">
        <f>SUM(F4:F7)</f>
        <v/>
      </c>
      <c r="G8" s="16">
        <f>SUM(G4:G7)</f>
        <v/>
      </c>
      <c r="H8" s="16">
        <f>SUM(H4:H7)</f>
        <v/>
      </c>
      <c r="I8" s="16">
        <f>SUM(I4:I7)</f>
        <v/>
      </c>
      <c r="J8" s="16">
        <f>SUM(J4:J7)</f>
        <v/>
      </c>
      <c r="K8" s="16">
        <f>SUM(K4:K7)</f>
        <v/>
      </c>
      <c r="L8" s="16">
        <f>SUM(L4:L7)</f>
        <v/>
      </c>
      <c r="M8" s="16">
        <f>SUM(M4:M7)</f>
        <v/>
      </c>
      <c r="N8" s="16">
        <f>SUM(N4:N7)</f>
        <v/>
      </c>
      <c r="O8" s="16">
        <f>SUM(O4:O7)</f>
        <v/>
      </c>
      <c r="P8" s="16">
        <f>SUM(P4:P7)</f>
        <v/>
      </c>
      <c r="Q8" s="16">
        <f>SUM(Q4:Q7)</f>
        <v/>
      </c>
      <c r="R8" s="16">
        <f>SUM(R4:R7)</f>
        <v/>
      </c>
      <c r="S8" s="16">
        <f>SUM(S4:S7)</f>
        <v/>
      </c>
    </row>
  </sheetData>
  <mergeCells count="9">
    <mergeCell ref="G2:I2"/>
    <mergeCell ref="J2:L2"/>
    <mergeCell ref="C2:C3"/>
    <mergeCell ref="B2:B3"/>
    <mergeCell ref="D2:D3"/>
    <mergeCell ref="F2:F3"/>
    <mergeCell ref="E2:E3"/>
    <mergeCell ref="M2:O2"/>
    <mergeCell ref="P2:S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Pawar, Umesh</dc:creator>
  <dcterms:created xsi:type="dcterms:W3CDTF">2025-09-24T05:52:36Z</dcterms:created>
  <dcterms:modified xsi:type="dcterms:W3CDTF">2025-09-29T20:22:16Z</dcterms:modified>
  <cp:lastModifiedBy>Umesh Pawar</cp:lastModifiedBy>
</cp:coreProperties>
</file>